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hris the Great\Downloads\"/>
    </mc:Choice>
  </mc:AlternateContent>
  <xr:revisionPtr revIDLastSave="0" documentId="13_ncr:1_{28955BF5-5DEC-40D3-9282-89137EBDD309}" xr6:coauthVersionLast="47" xr6:coauthVersionMax="47" xr10:uidLastSave="{00000000-0000-0000-0000-000000000000}"/>
  <bookViews>
    <workbookView xWindow="-108" yWindow="-108" windowWidth="23256" windowHeight="12576" xr2:uid="{5704E47B-648C-40DF-A352-409653B909FA}"/>
  </bookViews>
  <sheets>
    <sheet name="Application" sheetId="7" r:id="rId1"/>
    <sheet name="ChartsData" sheetId="13" state="hidden" r:id="rId2"/>
    <sheet name="Model" sheetId="12" state="hidden" r:id="rId3"/>
    <sheet name="Database" sheetId="5" r:id="rId4"/>
    <sheet name="Scheduling" sheetId="9" state="hidden" r:id="rId5"/>
  </sheets>
  <definedNames>
    <definedName name="_xlnm._FilterDatabase" localSheetId="3" hidden="1">Database!$A$1:$I$12</definedName>
    <definedName name="Demand">OFFSET(ChartsData!$B$10,1,,COUNTA(ChartsData!$B$11:$B$16),)</definedName>
    <definedName name="fires">OFFSET(ChartsData!$D$10,1,,COUNTA(ChartsData!$D$11:$D$16),)</definedName>
    <definedName name="hires">OFFSET(ChartsData!$C$10,1,,COUNTA(ChartsData!$C$11:$C$16),)</definedName>
    <definedName name="Months">Scheduling!$A$3:$A$14</definedName>
    <definedName name="overtime">OFFSET(ChartsData!$F$10,1,,COUNTA(ChartsData!$F$11:$F$16),)</definedName>
    <definedName name="solver_adj" localSheetId="2" hidden="1">Model!$C$12:$G$17</definedName>
    <definedName name="solver_cvg" localSheetId="0" hidden="1">0.0001</definedName>
    <definedName name="solver_cvg" localSheetId="2" hidden="1">0.0001</definedName>
    <definedName name="solver_drv" localSheetId="0" hidden="1">2</definedName>
    <definedName name="solver_drv" localSheetId="2" hidden="1">1</definedName>
    <definedName name="solver_eng" localSheetId="0" hidden="1">1</definedName>
    <definedName name="solver_eng" localSheetId="2" hidden="1">2</definedName>
    <definedName name="solver_est" localSheetId="0" hidden="1">1</definedName>
    <definedName name="solver_est" localSheetId="2" hidden="1">1</definedName>
    <definedName name="solver_itr" localSheetId="0" hidden="1">2147483647</definedName>
    <definedName name="solver_itr" localSheetId="2" hidden="1">2147483647</definedName>
    <definedName name="solver_lhs1" localSheetId="0" hidden="1">Application!$A$3:$A$8</definedName>
    <definedName name="solver_lhs1" localSheetId="2" hidden="1">Model!$A$3:$A$8</definedName>
    <definedName name="solver_lhs10" localSheetId="0" hidden="1">Application!$B$7</definedName>
    <definedName name="solver_lhs10" localSheetId="2" hidden="1">Model!$B$3:$B$8</definedName>
    <definedName name="solver_lhs11" localSheetId="0" hidden="1">Application!#REF!</definedName>
    <definedName name="solver_lhs11" localSheetId="2" hidden="1">Model!$C$12:$C$17</definedName>
    <definedName name="solver_lhs12" localSheetId="0" hidden="1">Application!$B$8</definedName>
    <definedName name="solver_lhs12" localSheetId="2" hidden="1">Model!$C$12:$G$17</definedName>
    <definedName name="solver_lhs13" localSheetId="0" hidden="1">Application!$C$12</definedName>
    <definedName name="solver_lhs13" localSheetId="2" hidden="1">Model!$D$12:$D$17</definedName>
    <definedName name="solver_lhs14" localSheetId="0" hidden="1">Application!$C$13</definedName>
    <definedName name="solver_lhs14" localSheetId="2" hidden="1">Model!$F$12:$F$17</definedName>
    <definedName name="solver_lhs15" localSheetId="0" hidden="1">Application!$C$14</definedName>
    <definedName name="solver_lhs15" localSheetId="2" hidden="1">Model!$G$12:$G$17</definedName>
    <definedName name="solver_lhs16" localSheetId="0" hidden="1">Application!$C$15</definedName>
    <definedName name="solver_lhs16" localSheetId="2" hidden="1">Model!$J$5</definedName>
    <definedName name="solver_lhs17" localSheetId="0" hidden="1">Application!$C$16</definedName>
    <definedName name="solver_lhs17" localSheetId="2" hidden="1">Model!$C$16</definedName>
    <definedName name="solver_lhs18" localSheetId="0" hidden="1">Application!$C$17</definedName>
    <definedName name="solver_lhs18" localSheetId="2" hidden="1">Model!$C$17</definedName>
    <definedName name="solver_lhs19" localSheetId="0" hidden="1">Application!$D$12</definedName>
    <definedName name="solver_lhs19" localSheetId="2" hidden="1">Model!$D$12</definedName>
    <definedName name="solver_lhs2" localSheetId="0" hidden="1">Application!$A$4</definedName>
    <definedName name="solver_lhs2" localSheetId="2" hidden="1">Model!$B$3:$B$8</definedName>
    <definedName name="solver_lhs20" localSheetId="0" hidden="1">Application!$D$13</definedName>
    <definedName name="solver_lhs20" localSheetId="2" hidden="1">Model!$D$13</definedName>
    <definedName name="solver_lhs21" localSheetId="0" hidden="1">Application!$D$14</definedName>
    <definedName name="solver_lhs21" localSheetId="2" hidden="1">Model!$D$14</definedName>
    <definedName name="solver_lhs22" localSheetId="0" hidden="1">Application!$D$15</definedName>
    <definedName name="solver_lhs22" localSheetId="2" hidden="1">Model!$D$15</definedName>
    <definedName name="solver_lhs23" localSheetId="0" hidden="1">Application!$D$16</definedName>
    <definedName name="solver_lhs23" localSheetId="2" hidden="1">Model!$D$16</definedName>
    <definedName name="solver_lhs24" localSheetId="0" hidden="1">Application!$D$17</definedName>
    <definedName name="solver_lhs24" localSheetId="2" hidden="1">Model!$D$17</definedName>
    <definedName name="solver_lhs25" localSheetId="0" hidden="1">Application!$F$12</definedName>
    <definedName name="solver_lhs25" localSheetId="2" hidden="1">Model!$F$12</definedName>
    <definedName name="solver_lhs26" localSheetId="0" hidden="1">Application!$F$13</definedName>
    <definedName name="solver_lhs26" localSheetId="2" hidden="1">Model!$F$13</definedName>
    <definedName name="solver_lhs27" localSheetId="0" hidden="1">Application!$F$14</definedName>
    <definedName name="solver_lhs27" localSheetId="2" hidden="1">Model!$F$14</definedName>
    <definedName name="solver_lhs28" localSheetId="0" hidden="1">Application!$F$15</definedName>
    <definedName name="solver_lhs28" localSheetId="2" hidden="1">Model!$F$15</definedName>
    <definedName name="solver_lhs29" localSheetId="0" hidden="1">Application!$F$16</definedName>
    <definedName name="solver_lhs29" localSheetId="2" hidden="1">Model!$F$16</definedName>
    <definedName name="solver_lhs3" localSheetId="0" hidden="1">Application!$A$5</definedName>
    <definedName name="solver_lhs3" localSheetId="2" hidden="1">Model!$C$12:$C$17</definedName>
    <definedName name="solver_lhs30" localSheetId="0" hidden="1">Application!$F$17</definedName>
    <definedName name="solver_lhs30" localSheetId="2" hidden="1">Model!$F$17</definedName>
    <definedName name="solver_lhs31" localSheetId="0" hidden="1">Application!$G$12</definedName>
    <definedName name="solver_lhs31" localSheetId="2" hidden="1">Model!$G$12</definedName>
    <definedName name="solver_lhs32" localSheetId="0" hidden="1">Application!$G$13</definedName>
    <definedName name="solver_lhs32" localSheetId="2" hidden="1">Model!$G$13</definedName>
    <definedName name="solver_lhs33" localSheetId="0" hidden="1">Application!$G$14</definedName>
    <definedName name="solver_lhs33" localSheetId="2" hidden="1">Model!$G$14</definedName>
    <definedName name="solver_lhs34" localSheetId="0" hidden="1">Application!$G$15</definedName>
    <definedName name="solver_lhs34" localSheetId="2" hidden="1">Model!$G$15</definedName>
    <definedName name="solver_lhs35" localSheetId="0" hidden="1">Application!$G$16</definedName>
    <definedName name="solver_lhs35" localSheetId="2" hidden="1">Model!$G$16</definedName>
    <definedName name="solver_lhs36" localSheetId="0" hidden="1">Application!$G$17</definedName>
    <definedName name="solver_lhs36" localSheetId="2" hidden="1">Model!$G$17</definedName>
    <definedName name="solver_lhs37" localSheetId="0" hidden="1">Application!$J$5</definedName>
    <definedName name="solver_lhs37" localSheetId="2" hidden="1">Model!$J$5</definedName>
    <definedName name="solver_lhs38" localSheetId="0" hidden="1">Application!$C$12</definedName>
    <definedName name="solver_lhs38" localSheetId="2" hidden="1">Model!$C$12</definedName>
    <definedName name="solver_lhs39" localSheetId="0" hidden="1">Application!$C$13</definedName>
    <definedName name="solver_lhs39" localSheetId="2" hidden="1">Model!$C$13</definedName>
    <definedName name="solver_lhs4" localSheetId="0" hidden="1">Application!$A$7</definedName>
    <definedName name="solver_lhs4" localSheetId="2" hidden="1">Model!$C$12:$G$17</definedName>
    <definedName name="solver_lhs40" localSheetId="0" hidden="1">Application!$C$14</definedName>
    <definedName name="solver_lhs40" localSheetId="2" hidden="1">Model!$C$14</definedName>
    <definedName name="solver_lhs41" localSheetId="0" hidden="1">Application!$C$15</definedName>
    <definedName name="solver_lhs41" localSheetId="2" hidden="1">Model!$C$15</definedName>
    <definedName name="solver_lhs42" localSheetId="0" hidden="1">Application!$C$16</definedName>
    <definedName name="solver_lhs42" localSheetId="2" hidden="1">Model!$C$16</definedName>
    <definedName name="solver_lhs43" localSheetId="0" hidden="1">Application!$C$17</definedName>
    <definedName name="solver_lhs43" localSheetId="2" hidden="1">Model!$C$17</definedName>
    <definedName name="solver_lhs44" localSheetId="2" hidden="1">Model!$D$12</definedName>
    <definedName name="solver_lhs45" localSheetId="2" hidden="1">Model!$D$13</definedName>
    <definedName name="solver_lhs46" localSheetId="2" hidden="1">Model!$D$14</definedName>
    <definedName name="solver_lhs47" localSheetId="2" hidden="1">Model!$D$15</definedName>
    <definedName name="solver_lhs48" localSheetId="2" hidden="1">Model!$D$16</definedName>
    <definedName name="solver_lhs49" localSheetId="2" hidden="1">Model!$D$17</definedName>
    <definedName name="solver_lhs5" localSheetId="0" hidden="1">Application!#REF!</definedName>
    <definedName name="solver_lhs5" localSheetId="2" hidden="1">Model!$D$12:$D$17</definedName>
    <definedName name="solver_lhs50" localSheetId="2" hidden="1">Model!$E$12</definedName>
    <definedName name="solver_lhs51" localSheetId="2" hidden="1">Model!$E$13</definedName>
    <definedName name="solver_lhs52" localSheetId="2" hidden="1">Model!$E$14</definedName>
    <definedName name="solver_lhs53" localSheetId="2" hidden="1">Model!$E$15</definedName>
    <definedName name="solver_lhs54" localSheetId="2" hidden="1">Model!$E$16</definedName>
    <definedName name="solver_lhs55" localSheetId="2" hidden="1">Model!$E$17</definedName>
    <definedName name="solver_lhs56" localSheetId="2" hidden="1">Model!$F$12</definedName>
    <definedName name="solver_lhs57" localSheetId="2" hidden="1">Model!$F$13</definedName>
    <definedName name="solver_lhs58" localSheetId="2" hidden="1">Model!$F$14</definedName>
    <definedName name="solver_lhs59" localSheetId="2" hidden="1">Model!$F$15</definedName>
    <definedName name="solver_lhs6" localSheetId="0" hidden="1">Application!$A$3</definedName>
    <definedName name="solver_lhs6" localSheetId="2" hidden="1">Model!$F$12:$F$17</definedName>
    <definedName name="solver_lhs60" localSheetId="2" hidden="1">Model!$F$16</definedName>
    <definedName name="solver_lhs61" localSheetId="2" hidden="1">Model!$F$17</definedName>
    <definedName name="solver_lhs62" localSheetId="2" hidden="1">Model!$G$12</definedName>
    <definedName name="solver_lhs63" localSheetId="2" hidden="1">Model!$G$13</definedName>
    <definedName name="solver_lhs64" localSheetId="2" hidden="1">Model!$G$14</definedName>
    <definedName name="solver_lhs65" localSheetId="2" hidden="1">Model!$G$15</definedName>
    <definedName name="solver_lhs66" localSheetId="2" hidden="1">Model!$G$16</definedName>
    <definedName name="solver_lhs67" localSheetId="2" hidden="1">Model!$G$17</definedName>
    <definedName name="solver_lhs7" localSheetId="0" hidden="1">Application!$B$3</definedName>
    <definedName name="solver_lhs7" localSheetId="2" hidden="1">Model!$G$12:$G$17</definedName>
    <definedName name="solver_lhs8" localSheetId="0" hidden="1">Application!$B$4</definedName>
    <definedName name="solver_lhs8" localSheetId="2" hidden="1">Model!$J$5</definedName>
    <definedName name="solver_lhs9" localSheetId="0" hidden="1">Application!$B$5</definedName>
    <definedName name="solver_lhs9" localSheetId="2" hidden="1">Model!$A$3:$A$8</definedName>
    <definedName name="solver_mip" localSheetId="0" hidden="1">2147483647</definedName>
    <definedName name="solver_mip" localSheetId="2" hidden="1">2147483647</definedName>
    <definedName name="solver_mni" localSheetId="0" hidden="1">30</definedName>
    <definedName name="solver_mni" localSheetId="2" hidden="1">30</definedName>
    <definedName name="solver_mrt" localSheetId="0" hidden="1">0.075</definedName>
    <definedName name="solver_mrt" localSheetId="2" hidden="1">0.075</definedName>
    <definedName name="solver_msl" localSheetId="0" hidden="1">2</definedName>
    <definedName name="solver_msl" localSheetId="2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od" localSheetId="2" hidden="1">2147483647</definedName>
    <definedName name="solver_num" localSheetId="0" hidden="1">0</definedName>
    <definedName name="solver_num" localSheetId="2" hidden="1">16</definedName>
    <definedName name="solver_nwt" localSheetId="0" hidden="1">1</definedName>
    <definedName name="solver_nwt" localSheetId="2" hidden="1">1</definedName>
    <definedName name="solver_opt" localSheetId="0" hidden="1">Application!$P$10</definedName>
    <definedName name="solver_opt" localSheetId="2" hidden="1">Model!$J$2</definedName>
    <definedName name="solver_pre" localSheetId="0" hidden="1">0.000001</definedName>
    <definedName name="solver_pre" localSheetId="2" hidden="1">0.000001</definedName>
    <definedName name="solver_rbv" localSheetId="0" hidden="1">2</definedName>
    <definedName name="solver_rbv" localSheetId="2" hidden="1">1</definedName>
    <definedName name="solver_rel1" localSheetId="0" hidden="1">2</definedName>
    <definedName name="solver_rel1" localSheetId="2" hidden="1">2</definedName>
    <definedName name="solver_rel10" localSheetId="0" hidden="1">3</definedName>
    <definedName name="solver_rel10" localSheetId="2" hidden="1">3</definedName>
    <definedName name="solver_rel11" localSheetId="0" hidden="1">3</definedName>
    <definedName name="solver_rel11" localSheetId="2" hidden="1">1</definedName>
    <definedName name="solver_rel12" localSheetId="0" hidden="1">3</definedName>
    <definedName name="solver_rel12" localSheetId="2" hidden="1">4</definedName>
    <definedName name="solver_rel13" localSheetId="0" hidden="1">1</definedName>
    <definedName name="solver_rel13" localSheetId="2" hidden="1">1</definedName>
    <definedName name="solver_rel14" localSheetId="0" hidden="1">1</definedName>
    <definedName name="solver_rel14" localSheetId="2" hidden="1">1</definedName>
    <definedName name="solver_rel15" localSheetId="0" hidden="1">1</definedName>
    <definedName name="solver_rel15" localSheetId="2" hidden="1">3</definedName>
    <definedName name="solver_rel16" localSheetId="0" hidden="1">1</definedName>
    <definedName name="solver_rel16" localSheetId="2" hidden="1">1</definedName>
    <definedName name="solver_rel17" localSheetId="0" hidden="1">1</definedName>
    <definedName name="solver_rel17" localSheetId="2" hidden="1">1</definedName>
    <definedName name="solver_rel18" localSheetId="0" hidden="1">1</definedName>
    <definedName name="solver_rel18" localSheetId="2" hidden="1">1</definedName>
    <definedName name="solver_rel19" localSheetId="0" hidden="1">1</definedName>
    <definedName name="solver_rel19" localSheetId="2" hidden="1">1</definedName>
    <definedName name="solver_rel2" localSheetId="0" hidden="1">2</definedName>
    <definedName name="solver_rel2" localSheetId="2" hidden="1">3</definedName>
    <definedName name="solver_rel20" localSheetId="0" hidden="1">1</definedName>
    <definedName name="solver_rel20" localSheetId="2" hidden="1">1</definedName>
    <definedName name="solver_rel21" localSheetId="0" hidden="1">1</definedName>
    <definedName name="solver_rel21" localSheetId="2" hidden="1">1</definedName>
    <definedName name="solver_rel22" localSheetId="0" hidden="1">1</definedName>
    <definedName name="solver_rel22" localSheetId="2" hidden="1">1</definedName>
    <definedName name="solver_rel23" localSheetId="0" hidden="1">1</definedName>
    <definedName name="solver_rel23" localSheetId="2" hidden="1">1</definedName>
    <definedName name="solver_rel24" localSheetId="0" hidden="1">1</definedName>
    <definedName name="solver_rel24" localSheetId="2" hidden="1">1</definedName>
    <definedName name="solver_rel25" localSheetId="0" hidden="1">1</definedName>
    <definedName name="solver_rel25" localSheetId="2" hidden="1">1</definedName>
    <definedName name="solver_rel26" localSheetId="0" hidden="1">1</definedName>
    <definedName name="solver_rel26" localSheetId="2" hidden="1">1</definedName>
    <definedName name="solver_rel27" localSheetId="0" hidden="1">1</definedName>
    <definedName name="solver_rel27" localSheetId="2" hidden="1">1</definedName>
    <definedName name="solver_rel28" localSheetId="0" hidden="1">1</definedName>
    <definedName name="solver_rel28" localSheetId="2" hidden="1">1</definedName>
    <definedName name="solver_rel29" localSheetId="0" hidden="1">1</definedName>
    <definedName name="solver_rel29" localSheetId="2" hidden="1">1</definedName>
    <definedName name="solver_rel3" localSheetId="0" hidden="1">2</definedName>
    <definedName name="solver_rel3" localSheetId="2" hidden="1">1</definedName>
    <definedName name="solver_rel30" localSheetId="0" hidden="1">1</definedName>
    <definedName name="solver_rel30" localSheetId="2" hidden="1">1</definedName>
    <definedName name="solver_rel31" localSheetId="0" hidden="1">3</definedName>
    <definedName name="solver_rel31" localSheetId="2" hidden="1">3</definedName>
    <definedName name="solver_rel32" localSheetId="0" hidden="1">3</definedName>
    <definedName name="solver_rel32" localSheetId="2" hidden="1">3</definedName>
    <definedName name="solver_rel33" localSheetId="0" hidden="1">3</definedName>
    <definedName name="solver_rel33" localSheetId="2" hidden="1">3</definedName>
    <definedName name="solver_rel34" localSheetId="0" hidden="1">3</definedName>
    <definedName name="solver_rel34" localSheetId="2" hidden="1">3</definedName>
    <definedName name="solver_rel35" localSheetId="0" hidden="1">3</definedName>
    <definedName name="solver_rel35" localSheetId="2" hidden="1">3</definedName>
    <definedName name="solver_rel36" localSheetId="0" hidden="1">3</definedName>
    <definedName name="solver_rel36" localSheetId="2" hidden="1">3</definedName>
    <definedName name="solver_rel37" localSheetId="0" hidden="1">1</definedName>
    <definedName name="solver_rel37" localSheetId="2" hidden="1">1</definedName>
    <definedName name="solver_rel38" localSheetId="0" hidden="1">5</definedName>
    <definedName name="solver_rel38" localSheetId="2" hidden="1">4</definedName>
    <definedName name="solver_rel39" localSheetId="0" hidden="1">5</definedName>
    <definedName name="solver_rel39" localSheetId="2" hidden="1">4</definedName>
    <definedName name="solver_rel4" localSheetId="0" hidden="1">2</definedName>
    <definedName name="solver_rel4" localSheetId="2" hidden="1">4</definedName>
    <definedName name="solver_rel40" localSheetId="0" hidden="1">5</definedName>
    <definedName name="solver_rel40" localSheetId="2" hidden="1">4</definedName>
    <definedName name="solver_rel41" localSheetId="0" hidden="1">5</definedName>
    <definedName name="solver_rel41" localSheetId="2" hidden="1">4</definedName>
    <definedName name="solver_rel42" localSheetId="0" hidden="1">5</definedName>
    <definedName name="solver_rel42" localSheetId="2" hidden="1">4</definedName>
    <definedName name="solver_rel43" localSheetId="0" hidden="1">5</definedName>
    <definedName name="solver_rel43" localSheetId="2" hidden="1">4</definedName>
    <definedName name="solver_rel44" localSheetId="2" hidden="1">4</definedName>
    <definedName name="solver_rel45" localSheetId="2" hidden="1">4</definedName>
    <definedName name="solver_rel46" localSheetId="2" hidden="1">4</definedName>
    <definedName name="solver_rel47" localSheetId="2" hidden="1">4</definedName>
    <definedName name="solver_rel48" localSheetId="2" hidden="1">4</definedName>
    <definedName name="solver_rel49" localSheetId="2" hidden="1">4</definedName>
    <definedName name="solver_rel5" localSheetId="0" hidden="1">2</definedName>
    <definedName name="solver_rel5" localSheetId="2" hidden="1">1</definedName>
    <definedName name="solver_rel50" localSheetId="2" hidden="1">4</definedName>
    <definedName name="solver_rel51" localSheetId="2" hidden="1">4</definedName>
    <definedName name="solver_rel52" localSheetId="2" hidden="1">4</definedName>
    <definedName name="solver_rel53" localSheetId="2" hidden="1">4</definedName>
    <definedName name="solver_rel54" localSheetId="2" hidden="1">4</definedName>
    <definedName name="solver_rel55" localSheetId="2" hidden="1">4</definedName>
    <definedName name="solver_rel56" localSheetId="2" hidden="1">4</definedName>
    <definedName name="solver_rel57" localSheetId="2" hidden="1">4</definedName>
    <definedName name="solver_rel58" localSheetId="2" hidden="1">4</definedName>
    <definedName name="solver_rel59" localSheetId="2" hidden="1">4</definedName>
    <definedName name="solver_rel6" localSheetId="0" hidden="1">2</definedName>
    <definedName name="solver_rel6" localSheetId="2" hidden="1">1</definedName>
    <definedName name="solver_rel60" localSheetId="2" hidden="1">4</definedName>
    <definedName name="solver_rel61" localSheetId="2" hidden="1">4</definedName>
    <definedName name="solver_rel62" localSheetId="2" hidden="1">4</definedName>
    <definedName name="solver_rel63" localSheetId="2" hidden="1">4</definedName>
    <definedName name="solver_rel64" localSheetId="2" hidden="1">4</definedName>
    <definedName name="solver_rel65" localSheetId="2" hidden="1">4</definedName>
    <definedName name="solver_rel66" localSheetId="2" hidden="1">4</definedName>
    <definedName name="solver_rel67" localSheetId="2" hidden="1">4</definedName>
    <definedName name="solver_rel7" localSheetId="0" hidden="1">3</definedName>
    <definedName name="solver_rel7" localSheetId="2" hidden="1">3</definedName>
    <definedName name="solver_rel8" localSheetId="0" hidden="1">3</definedName>
    <definedName name="solver_rel8" localSheetId="2" hidden="1">1</definedName>
    <definedName name="solver_rel9" localSheetId="0" hidden="1">3</definedName>
    <definedName name="solver_rel9" localSheetId="2" hidden="1">2</definedName>
    <definedName name="solver_rhs1" localSheetId="0" hidden="1">Application!$E$12</definedName>
    <definedName name="solver_rhs1" localSheetId="2" hidden="1">Model!$E$12:$E$17</definedName>
    <definedName name="solver_rhs10" localSheetId="0" hidden="1">Application!$C$6</definedName>
    <definedName name="solver_rhs10" localSheetId="2" hidden="1">Model!$C$3:$C$8</definedName>
    <definedName name="solver_rhs11" localSheetId="0" hidden="1">Application!$C$7</definedName>
    <definedName name="solver_rhs11" localSheetId="2" hidden="1">Model!$D$3:$D$8</definedName>
    <definedName name="solver_rhs12" localSheetId="0" hidden="1">Application!$C$8</definedName>
    <definedName name="solver_rhs12" localSheetId="2" hidden="1">"integer"</definedName>
    <definedName name="solver_rhs13" localSheetId="0" hidden="1">Application!$D$3</definedName>
    <definedName name="solver_rhs13" localSheetId="2" hidden="1">Model!$E$3:$E$8</definedName>
    <definedName name="solver_rhs14" localSheetId="0" hidden="1">Application!$D$4</definedName>
    <definedName name="solver_rhs14" localSheetId="2" hidden="1">Model!$F$3:$F$8</definedName>
    <definedName name="solver_rhs15" localSheetId="0" hidden="1">Application!$D$5</definedName>
    <definedName name="solver_rhs15" localSheetId="2" hidden="1">Model!$G$3:$G$8</definedName>
    <definedName name="solver_rhs16" localSheetId="0" hidden="1">Application!$D$6</definedName>
    <definedName name="solver_rhs16" localSheetId="2" hidden="1">Model!$H$3</definedName>
    <definedName name="solver_rhs17" localSheetId="0" hidden="1">Application!$D$7</definedName>
    <definedName name="solver_rhs17" localSheetId="2" hidden="1">Model!$D$7</definedName>
    <definedName name="solver_rhs18" localSheetId="0" hidden="1">Application!$D$8</definedName>
    <definedName name="solver_rhs18" localSheetId="2" hidden="1">Model!$D$8</definedName>
    <definedName name="solver_rhs19" localSheetId="0" hidden="1">Application!$E$3</definedName>
    <definedName name="solver_rhs19" localSheetId="2" hidden="1">Model!$E$3</definedName>
    <definedName name="solver_rhs2" localSheetId="0" hidden="1">Application!$E$13</definedName>
    <definedName name="solver_rhs2" localSheetId="2" hidden="1">Model!$C$3:$C$8</definedName>
    <definedName name="solver_rhs20" localSheetId="0" hidden="1">Application!$E$4</definedName>
    <definedName name="solver_rhs20" localSheetId="2" hidden="1">Model!$E$4</definedName>
    <definedName name="solver_rhs21" localSheetId="0" hidden="1">Application!$E$5</definedName>
    <definedName name="solver_rhs21" localSheetId="2" hidden="1">Model!$E$5</definedName>
    <definedName name="solver_rhs22" localSheetId="0" hidden="1">Application!$E$6</definedName>
    <definedName name="solver_rhs22" localSheetId="2" hidden="1">Model!$E$6</definedName>
    <definedName name="solver_rhs23" localSheetId="0" hidden="1">Application!$E$7</definedName>
    <definedName name="solver_rhs23" localSheetId="2" hidden="1">Model!$E$7</definedName>
    <definedName name="solver_rhs24" localSheetId="0" hidden="1">Application!$E$8</definedName>
    <definedName name="solver_rhs24" localSheetId="2" hidden="1">Model!$E$8</definedName>
    <definedName name="solver_rhs25" localSheetId="0" hidden="1">Application!$F$3</definedName>
    <definedName name="solver_rhs25" localSheetId="2" hidden="1">Model!$F$3</definedName>
    <definedName name="solver_rhs26" localSheetId="0" hidden="1">Application!$F$4</definedName>
    <definedName name="solver_rhs26" localSheetId="2" hidden="1">Model!$F$4</definedName>
    <definedName name="solver_rhs27" localSheetId="0" hidden="1">Application!$F$5</definedName>
    <definedName name="solver_rhs27" localSheetId="2" hidden="1">Model!$F$5</definedName>
    <definedName name="solver_rhs28" localSheetId="0" hidden="1">Application!$F$6</definedName>
    <definedName name="solver_rhs28" localSheetId="2" hidden="1">Model!$F$6</definedName>
    <definedName name="solver_rhs29" localSheetId="0" hidden="1">Application!$F$7</definedName>
    <definedName name="solver_rhs29" localSheetId="2" hidden="1">Model!$F$7</definedName>
    <definedName name="solver_rhs3" localSheetId="0" hidden="1">Application!$E$14</definedName>
    <definedName name="solver_rhs3" localSheetId="2" hidden="1">Model!$D$3:$D$8</definedName>
    <definedName name="solver_rhs30" localSheetId="0" hidden="1">Application!$F$8</definedName>
    <definedName name="solver_rhs30" localSheetId="2" hidden="1">Model!$F$8</definedName>
    <definedName name="solver_rhs31" localSheetId="0" hidden="1">Application!$G$2</definedName>
    <definedName name="solver_rhs31" localSheetId="2" hidden="1">Model!$G$2</definedName>
    <definedName name="solver_rhs32" localSheetId="0" hidden="1">Application!$G$4</definedName>
    <definedName name="solver_rhs32" localSheetId="2" hidden="1">Model!$G$4</definedName>
    <definedName name="solver_rhs33" localSheetId="0" hidden="1">Application!$G$5</definedName>
    <definedName name="solver_rhs33" localSheetId="2" hidden="1">Model!$G$5</definedName>
    <definedName name="solver_rhs34" localSheetId="0" hidden="1">Application!$G$6</definedName>
    <definedName name="solver_rhs34" localSheetId="2" hidden="1">Model!$G$6</definedName>
    <definedName name="solver_rhs35" localSheetId="0" hidden="1">Application!$G$7</definedName>
    <definedName name="solver_rhs35" localSheetId="2" hidden="1">Model!$G$7</definedName>
    <definedName name="solver_rhs36" localSheetId="0" hidden="1">Application!$G$8</definedName>
    <definedName name="solver_rhs36" localSheetId="2" hidden="1">Model!$G$8</definedName>
    <definedName name="solver_rhs37" localSheetId="0" hidden="1">Application!$H$3</definedName>
    <definedName name="solver_rhs37" localSheetId="2" hidden="1">Model!$H$3</definedName>
    <definedName name="solver_rhs38" localSheetId="0" hidden="1">"binary"</definedName>
    <definedName name="solver_rhs38" localSheetId="2" hidden="1">"integer"</definedName>
    <definedName name="solver_rhs39" localSheetId="0" hidden="1">"binary"</definedName>
    <definedName name="solver_rhs39" localSheetId="2" hidden="1">"integer"</definedName>
    <definedName name="solver_rhs4" localSheetId="0" hidden="1">Application!$E$15</definedName>
    <definedName name="solver_rhs4" localSheetId="2" hidden="1">"integer"</definedName>
    <definedName name="solver_rhs40" localSheetId="0" hidden="1">"binary"</definedName>
    <definedName name="solver_rhs40" localSheetId="2" hidden="1">"integer"</definedName>
    <definedName name="solver_rhs41" localSheetId="0" hidden="1">"binary"</definedName>
    <definedName name="solver_rhs41" localSheetId="2" hidden="1">"integer"</definedName>
    <definedName name="solver_rhs42" localSheetId="0" hidden="1">"binary"</definedName>
    <definedName name="solver_rhs42" localSheetId="2" hidden="1">"integer"</definedName>
    <definedName name="solver_rhs43" localSheetId="0" hidden="1">"binary"</definedName>
    <definedName name="solver_rhs43" localSheetId="2" hidden="1">"integer"</definedName>
    <definedName name="solver_rhs44" localSheetId="2" hidden="1">"integer"</definedName>
    <definedName name="solver_rhs45" localSheetId="2" hidden="1">"integer"</definedName>
    <definedName name="solver_rhs46" localSheetId="2" hidden="1">"integer"</definedName>
    <definedName name="solver_rhs47" localSheetId="2" hidden="1">"integer"</definedName>
    <definedName name="solver_rhs48" localSheetId="2" hidden="1">"integer"</definedName>
    <definedName name="solver_rhs49" localSheetId="2" hidden="1">"integer"</definedName>
    <definedName name="solver_rhs5" localSheetId="0" hidden="1">Application!$E$16</definedName>
    <definedName name="solver_rhs5" localSheetId="2" hidden="1">Model!$E$3:$E$8</definedName>
    <definedName name="solver_rhs50" localSheetId="2" hidden="1">"integer"</definedName>
    <definedName name="solver_rhs51" localSheetId="2" hidden="1">"integer"</definedName>
    <definedName name="solver_rhs52" localSheetId="2" hidden="1">"integer"</definedName>
    <definedName name="solver_rhs53" localSheetId="2" hidden="1">"integer"</definedName>
    <definedName name="solver_rhs54" localSheetId="2" hidden="1">"integer"</definedName>
    <definedName name="solver_rhs55" localSheetId="2" hidden="1">"integer"</definedName>
    <definedName name="solver_rhs56" localSheetId="2" hidden="1">"integer"</definedName>
    <definedName name="solver_rhs57" localSheetId="2" hidden="1">"integer"</definedName>
    <definedName name="solver_rhs58" localSheetId="2" hidden="1">"integer"</definedName>
    <definedName name="solver_rhs59" localSheetId="2" hidden="1">"integer"</definedName>
    <definedName name="solver_rhs6" localSheetId="0" hidden="1">Application!$E$17</definedName>
    <definedName name="solver_rhs6" localSheetId="2" hidden="1">Model!$F$3:$F$8</definedName>
    <definedName name="solver_rhs60" localSheetId="2" hidden="1">"integer"</definedName>
    <definedName name="solver_rhs61" localSheetId="2" hidden="1">"integer"</definedName>
    <definedName name="solver_rhs62" localSheetId="2" hidden="1">"integer"</definedName>
    <definedName name="solver_rhs63" localSheetId="2" hidden="1">"integer"</definedName>
    <definedName name="solver_rhs64" localSheetId="2" hidden="1">"integer"</definedName>
    <definedName name="solver_rhs65" localSheetId="2" hidden="1">"integer"</definedName>
    <definedName name="solver_rhs66" localSheetId="2" hidden="1">"integer"</definedName>
    <definedName name="solver_rhs67" localSheetId="2" hidden="1">"integer"</definedName>
    <definedName name="solver_rhs7" localSheetId="0" hidden="1">Application!$C$3</definedName>
    <definedName name="solver_rhs7" localSheetId="2" hidden="1">Model!$G$3:$G$8</definedName>
    <definedName name="solver_rhs8" localSheetId="0" hidden="1">Application!$C$4</definedName>
    <definedName name="solver_rhs8" localSheetId="2" hidden="1">Model!$H$3</definedName>
    <definedName name="solver_rhs9" localSheetId="0" hidden="1">Application!$C$5</definedName>
    <definedName name="solver_rhs9" localSheetId="2" hidden="1">Model!$E$12:$E$17</definedName>
    <definedName name="solver_rlx" localSheetId="0" hidden="1">2</definedName>
    <definedName name="solver_rlx" localSheetId="2" hidden="1">2</definedName>
    <definedName name="solver_rsd" localSheetId="0" hidden="1">0</definedName>
    <definedName name="solver_rsd" localSheetId="2" hidden="1">0</definedName>
    <definedName name="solver_scl" localSheetId="0" hidden="1">2</definedName>
    <definedName name="solver_scl" localSheetId="2" hidden="1">1</definedName>
    <definedName name="solver_sho" localSheetId="0" hidden="1">2</definedName>
    <definedName name="solver_sho" localSheetId="2" hidden="1">2</definedName>
    <definedName name="solver_ssz" localSheetId="0" hidden="1">100</definedName>
    <definedName name="solver_ssz" localSheetId="2" hidden="1">100</definedName>
    <definedName name="solver_tim" localSheetId="0" hidden="1">2147483647</definedName>
    <definedName name="solver_tim" localSheetId="2" hidden="1">2147483647</definedName>
    <definedName name="solver_tol" localSheetId="0" hidden="1">0.00000001</definedName>
    <definedName name="solver_tol" localSheetId="2" hidden="1">0.00000001</definedName>
    <definedName name="solver_typ" localSheetId="0" hidden="1">1</definedName>
    <definedName name="solver_typ" localSheetId="2" hidden="1">2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  <definedName name="unmetdemand">OFFSET(ChartsData!$G$10,1,,COUNTA(ChartsData!$G$11:$G$16),)</definedName>
    <definedName name="Week">OFFSET(ChartsData!$A$10,1,,COUNTA(ChartsData!$A$11:$A$16),)</definedName>
    <definedName name="Workforce">OFFSET(ChartsData!$H$10,1,,COUNTA(ChartsData!$H$11:$H$16),)</definedName>
    <definedName name="Years">OFFSET(Scheduling!$B$2,1,,COUNTA(Scheduling!$B$3:$B$14),)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12" l="1"/>
  <c r="A8" i="12"/>
  <c r="A7" i="12"/>
  <c r="B16" i="12"/>
  <c r="G7" i="12" s="1"/>
  <c r="F8" i="12"/>
  <c r="F7" i="12"/>
  <c r="E8" i="12"/>
  <c r="E7" i="12"/>
  <c r="D8" i="12"/>
  <c r="D7" i="12"/>
  <c r="B8" i="12"/>
  <c r="B7" i="12"/>
  <c r="H3" i="12"/>
  <c r="B15" i="12"/>
  <c r="G6" i="12" s="1"/>
  <c r="B14" i="12"/>
  <c r="G5" i="12" s="1"/>
  <c r="B13" i="12"/>
  <c r="G4" i="12" s="1"/>
  <c r="B12" i="12"/>
  <c r="C3" i="12" s="1"/>
  <c r="F6" i="12"/>
  <c r="E6" i="12"/>
  <c r="D6" i="12"/>
  <c r="B6" i="12"/>
  <c r="A6" i="12"/>
  <c r="F5" i="12"/>
  <c r="E5" i="12"/>
  <c r="D5" i="12"/>
  <c r="B5" i="12"/>
  <c r="A5" i="12"/>
  <c r="F4" i="12"/>
  <c r="E4" i="12"/>
  <c r="D4" i="12"/>
  <c r="B4" i="12"/>
  <c r="A4" i="12"/>
  <c r="F3" i="12"/>
  <c r="E3" i="12"/>
  <c r="D3" i="12"/>
  <c r="B3" i="12"/>
  <c r="A3" i="12"/>
  <c r="B1" i="7"/>
  <c r="B2" i="7" s="1"/>
  <c r="E10" i="7" s="1" a="1"/>
  <c r="E10" i="7" s="1"/>
  <c r="A2" i="13" s="1" a="1"/>
  <c r="A2" i="13" s="1"/>
  <c r="A12" i="12" l="1" a="1"/>
  <c r="C7" i="12"/>
  <c r="C6" i="12"/>
  <c r="C5" i="12"/>
  <c r="C4" i="12"/>
  <c r="G3" i="12"/>
  <c r="J2" i="12" l="1"/>
  <c r="J5" i="12"/>
  <c r="K6" i="7" s="1"/>
  <c r="A12" i="12"/>
  <c r="G8" i="12" l="1"/>
  <c r="C8" i="12"/>
  <c r="H8" i="13" l="1"/>
  <c r="H3" i="13"/>
  <c r="H7" i="13"/>
  <c r="H6" i="13"/>
  <c r="H5" i="13"/>
  <c r="H4" i="13"/>
  <c r="A10" i="13" l="1" a="1"/>
  <c r="N11" i="13" l="1"/>
  <c r="A10" i="13"/>
  <c r="K11" i="13"/>
  <c r="L11" i="13"/>
  <c r="O11" i="13"/>
  <c r="M11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<sst xmlns="http://schemas.openxmlformats.org/spreadsheetml/2006/main" count="80" uniqueCount="61">
  <si>
    <t>hiring cost</t>
  </si>
  <si>
    <t>firing cost</t>
  </si>
  <si>
    <t>salary cost</t>
  </si>
  <si>
    <t>unmet demand cost</t>
  </si>
  <si>
    <t>max hiring</t>
  </si>
  <si>
    <t>max firing</t>
  </si>
  <si>
    <t>overtime cost</t>
  </si>
  <si>
    <t>overtime hours</t>
  </si>
  <si>
    <t>working hours</t>
  </si>
  <si>
    <t>budget</t>
  </si>
  <si>
    <t>service rate</t>
  </si>
  <si>
    <t>initial employees</t>
  </si>
  <si>
    <t>Input Parameters Per Week</t>
  </si>
  <si>
    <t>Number of Weeks</t>
  </si>
  <si>
    <t>Select Month</t>
  </si>
  <si>
    <t>Select Year</t>
  </si>
  <si>
    <t>Demand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</si>
  <si>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</si>
  <si>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</si>
  <si>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</si>
  <si>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</si>
  <si>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</si>
  <si>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</si>
  <si>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</si>
  <si>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</si>
  <si>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</si>
  <si>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</si>
  <si>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</si>
  <si>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</si>
  <si>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Months</t>
  </si>
  <si>
    <t>Years</t>
  </si>
  <si>
    <t>SCHEDULING</t>
  </si>
  <si>
    <t>Hires</t>
  </si>
  <si>
    <t>Fires</t>
  </si>
  <si>
    <t>Employees</t>
  </si>
  <si>
    <t>Overtime</t>
  </si>
  <si>
    <t>Unmet Demand</t>
  </si>
  <si>
    <t>Week</t>
  </si>
  <si>
    <t>Workforce Planning Application</t>
  </si>
  <si>
    <t>Month</t>
  </si>
  <si>
    <t>Selected Row</t>
  </si>
  <si>
    <t>Generate Random Demand</t>
  </si>
  <si>
    <t>Input Manually Demand</t>
  </si>
  <si>
    <t>Constraints</t>
  </si>
  <si>
    <t>Firing</t>
  </si>
  <si>
    <t>Objective</t>
  </si>
  <si>
    <t>Total Cost</t>
  </si>
  <si>
    <t>Dem.*Ser.Rate</t>
  </si>
  <si>
    <t>Hriing</t>
  </si>
  <si>
    <t>Budget</t>
  </si>
  <si>
    <t>Year</t>
  </si>
  <si>
    <t>Line Graph Total Workforce (Employees + Overtime) vs Demand</t>
  </si>
  <si>
    <t>Total Workforce</t>
  </si>
  <si>
    <t>Costs</t>
  </si>
  <si>
    <t>Hiring Cost</t>
  </si>
  <si>
    <t>Firing Cost</t>
  </si>
  <si>
    <t>Salary Cost</t>
  </si>
  <si>
    <t>Overtime Cost</t>
  </si>
  <si>
    <t>Unmet Demand Cost</t>
  </si>
  <si>
    <t>Hired</t>
  </si>
  <si>
    <t>Fired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</si>
</sst>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8"/>
      <color theme="1"/>
      <name val="Arial Rounded MT Bold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/>
    <xf numFmtId="0" fontId="0" fillId="0" borderId="4" xfId="0" applyBorder="1"/>
    <xf numFmtId="0" fontId="0" fillId="0" borderId="6" xfId="0" applyBorder="1"/>
    <xf numFmtId="0" fontId="1" fillId="0" borderId="7" xfId="0" applyFont="1" applyBorder="1"/>
    <xf numFmtId="0" fontId="1" fillId="0" borderId="8" xfId="0" applyFont="1" applyBorder="1"/>
    <xf numFmtId="0" fontId="2" fillId="0" borderId="1" xfId="0" applyFont="1" applyBorder="1"/>
    <xf numFmtId="0" fontId="2" fillId="0" borderId="2" xfId="0" applyFont="1" applyBorder="1"/>
    <xf numFmtId="0" fontId="0" fillId="0" borderId="3" xfId="0" applyBorder="1"/>
    <xf numFmtId="0" fontId="0" fillId="0" borderId="5" xfId="0" applyBorder="1"/>
    <xf numFmtId="0" fontId="1" fillId="0" borderId="8" xfId="0" applyFont="1" applyBorder="1" applyProtection="1">
      <protection locked="0"/>
    </xf>
    <xf numFmtId="0" fontId="1" fillId="0" borderId="9" xfId="0" applyFont="1" applyBorder="1" applyAlignment="1" applyProtection="1">
      <alignment horizontal="right"/>
      <protection locked="0"/>
    </xf>
    <xf numFmtId="0" fontId="0" fillId="0" borderId="4" xfId="0" applyBorder="1" applyProtection="1">
      <protection locked="0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6">
    <dxf>
      <fill>
        <gradientFill degree="90">
          <stop position="0">
            <color theme="7" tint="0.40000610370189521"/>
          </stop>
          <stop position="1">
            <color theme="3" tint="0.49803155613879818"/>
          </stop>
        </gradient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b/>
        <i/>
      </font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7" tint="0.40000610370189521"/>
          </stop>
          <stop position="1">
            <color theme="3" tint="0.49803155613879818"/>
          </stop>
        </gradientFill>
      </fill>
    </dxf>
    <dxf>
      <numFmt numFmtId="164" formatCode=";;"/>
      <fill>
        <patternFill patternType="none">
          <bgColor auto="1"/>
        </patternFill>
      </fill>
      <border>
        <left/>
        <right/>
        <top/>
        <bottom/>
      </border>
    </dxf>
    <dxf>
      <font>
        <b/>
        <i/>
      </font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14AC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Hired</a:t>
            </a:r>
            <a:r>
              <a:rPr lang="en-GB" baseline="0"/>
              <a:t> vs Fired Employes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Model!$C$11</c:f>
              <c:strCache>
                <c:ptCount val="1"/>
                <c:pt idx="0">
                  <c:v>Hired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[0]!Week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[0]!hires</c:f>
              <c:numCache>
                <c:formatCode>General</c:formatCode>
                <c:ptCount val="6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48-4DEF-BA29-DA04BEEE5F67}"/>
            </c:ext>
          </c:extLst>
        </c:ser>
        <c:ser>
          <c:idx val="1"/>
          <c:order val="1"/>
          <c:tx>
            <c:strRef>
              <c:f>ChartsData!$D$10</c:f>
              <c:strCache>
                <c:ptCount val="1"/>
                <c:pt idx="0">
                  <c:v>Fired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[0]!Week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[0]!fires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48-4DEF-BA29-DA04BEEE5F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347383760"/>
        <c:axId val="1347381840"/>
        <c:axId val="0"/>
      </c:bar3DChart>
      <c:catAx>
        <c:axId val="134738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7381840"/>
        <c:crosses val="autoZero"/>
        <c:auto val="1"/>
        <c:lblAlgn val="ctr"/>
        <c:lblOffset val="100"/>
        <c:noMultiLvlLbl val="0"/>
      </c:catAx>
      <c:valAx>
        <c:axId val="134738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14AC96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7383760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Overtime</a:t>
            </a:r>
            <a:r>
              <a:rPr lang="en-GB" baseline="0"/>
              <a:t> vs Unmet Demand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ChartsData!$F$10</c:f>
              <c:strCache>
                <c:ptCount val="1"/>
                <c:pt idx="0">
                  <c:v>Overtime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[0]!Week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[0]!overtime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70-4E7A-B5C9-EEE6AD0CD944}"/>
            </c:ext>
          </c:extLst>
        </c:ser>
        <c:ser>
          <c:idx val="1"/>
          <c:order val="1"/>
          <c:tx>
            <c:strRef>
              <c:f>ChartsData!$G$10</c:f>
              <c:strCache>
                <c:ptCount val="1"/>
                <c:pt idx="0">
                  <c:v>Unmet Demand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[0]!Week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[0]!unmetdemand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70-4E7A-B5C9-EEE6AD0CD94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626684144"/>
        <c:axId val="1626684624"/>
        <c:axId val="0"/>
      </c:bar3DChart>
      <c:catAx>
        <c:axId val="1626684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6684624"/>
        <c:crosses val="autoZero"/>
        <c:auto val="1"/>
        <c:lblAlgn val="ctr"/>
        <c:lblOffset val="100"/>
        <c:noMultiLvlLbl val="0"/>
      </c:catAx>
      <c:valAx>
        <c:axId val="162668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</a:t>
                </a:r>
                <a:r>
                  <a:rPr lang="en-GB" baseline="0"/>
                  <a:t> in demand units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668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</a:t>
            </a:r>
            <a:r>
              <a:rPr lang="en-GB" baseline="0"/>
              <a:t> Workforce (Employees + Overtime) vs Demand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ChartsData!$H$10</c:f>
              <c:strCache>
                <c:ptCount val="1"/>
                <c:pt idx="0">
                  <c:v>Total Workforce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[0]!Workforce</c:f>
              <c:numCache>
                <c:formatCode>General</c:formatCode>
                <c:ptCount val="6"/>
                <c:pt idx="0">
                  <c:v>120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40</c:v>
                </c:pt>
                <c:pt idx="5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A7-4CA6-9ECB-05DB268F408A}"/>
            </c:ext>
          </c:extLst>
        </c:ser>
        <c:ser>
          <c:idx val="1"/>
          <c:order val="1"/>
          <c:tx>
            <c:strRef>
              <c:f>ChartsData!$B$10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[0]!Demand</c:f>
              <c:numCache>
                <c:formatCode>General</c:formatCode>
                <c:ptCount val="6"/>
                <c:pt idx="0">
                  <c:v>95</c:v>
                </c:pt>
                <c:pt idx="1">
                  <c:v>48</c:v>
                </c:pt>
                <c:pt idx="2">
                  <c:v>59</c:v>
                </c:pt>
                <c:pt idx="3">
                  <c:v>62</c:v>
                </c:pt>
                <c:pt idx="4">
                  <c:v>19</c:v>
                </c:pt>
                <c:pt idx="5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A7-4CA6-9ECB-05DB268F408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78725696"/>
        <c:axId val="1878731456"/>
      </c:lineChart>
      <c:catAx>
        <c:axId val="1878725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8731456"/>
        <c:crosses val="autoZero"/>
        <c:auto val="1"/>
        <c:lblAlgn val="ctr"/>
        <c:lblOffset val="100"/>
        <c:noMultiLvlLbl val="0"/>
      </c:catAx>
      <c:valAx>
        <c:axId val="187873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</a:t>
                </a:r>
                <a:r>
                  <a:rPr lang="en-GB" baseline="0"/>
                  <a:t> of demand units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8725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Cost</a:t>
            </a:r>
            <a:r>
              <a:rPr lang="en-GB" baseline="0"/>
              <a:t> Distribution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756-4B8B-B2EE-5BB68FA659B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756-4B8B-B2EE-5BB68FA659B2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756-4B8B-B2EE-5BB68FA659B2}"/>
              </c:ext>
            </c:extLst>
          </c:dPt>
          <c:dPt>
            <c:idx val="3"/>
            <c:bubble3D val="0"/>
            <c:spPr>
              <a:solidFill>
                <a:schemeClr val="accent4">
                  <a:lumMod val="75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756-4B8B-B2EE-5BB68FA659B2}"/>
              </c:ext>
            </c:extLst>
          </c:dPt>
          <c:dPt>
            <c:idx val="4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756-4B8B-B2EE-5BB68FA659B2}"/>
              </c:ext>
            </c:extLst>
          </c:dPt>
          <c:dLbls>
            <c:dLbl>
              <c:idx val="0"/>
              <c:layout>
                <c:manualLayout>
                  <c:x val="-3.3590048881896595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756-4B8B-B2EE-5BB68FA659B2}"/>
                </c:ext>
              </c:extLst>
            </c:dLbl>
            <c:dLbl>
              <c:idx val="1"/>
              <c:layout>
                <c:manualLayout>
                  <c:x val="4.4786731842528793E-2"/>
                  <c:y val="1.783331537129978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56-4B8B-B2EE-5BB68FA659B2}"/>
                </c:ext>
              </c:extLst>
            </c:dLbl>
            <c:dLbl>
              <c:idx val="4"/>
              <c:layout>
                <c:manualLayout>
                  <c:x val="-0.15321917097570451"/>
                  <c:y val="-0.1088599809923615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756-4B8B-B2EE-5BB68FA659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ChartsData!$K$10:$O$10</c:f>
              <c:strCache>
                <c:ptCount val="5"/>
                <c:pt idx="0">
                  <c:v>Hiring Cost</c:v>
                </c:pt>
                <c:pt idx="1">
                  <c:v>Firing Cost</c:v>
                </c:pt>
                <c:pt idx="2">
                  <c:v>Salary Cost</c:v>
                </c:pt>
                <c:pt idx="3">
                  <c:v>Overtime Cost</c:v>
                </c:pt>
                <c:pt idx="4">
                  <c:v>Unmet Demand Cost</c:v>
                </c:pt>
              </c:strCache>
            </c:strRef>
          </c:cat>
          <c:val>
            <c:numRef>
              <c:f>ChartsData!$K$11:$O$11</c:f>
              <c:numCache>
                <c:formatCode>General</c:formatCode>
                <c:ptCount val="5"/>
                <c:pt idx="0">
                  <c:v>500</c:v>
                </c:pt>
                <c:pt idx="1">
                  <c:v>100</c:v>
                </c:pt>
                <c:pt idx="2">
                  <c:v>3250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756-4B8B-B2EE-5BB68FA65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18</xdr:row>
          <xdr:rowOff>167640</xdr:rowOff>
        </xdr:from>
        <xdr:to>
          <xdr:col>3</xdr:col>
          <xdr:colOff>76200</xdr:colOff>
          <xdr:row>19</xdr:row>
          <xdr:rowOff>175260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20</xdr:row>
          <xdr:rowOff>15240</xdr:rowOff>
        </xdr:from>
        <xdr:to>
          <xdr:col>3</xdr:col>
          <xdr:colOff>68580</xdr:colOff>
          <xdr:row>21</xdr:row>
          <xdr:rowOff>22860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Manually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Mannually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7</xdr:row>
          <xdr:rowOff>160020</xdr:rowOff>
        </xdr:from>
        <xdr:to>
          <xdr:col>3</xdr:col>
          <xdr:colOff>838200</xdr:colOff>
          <xdr:row>9</xdr:row>
          <xdr:rowOff>121920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182880</xdr:colOff>
          <xdr:row>7</xdr:row>
          <xdr:rowOff>175260</xdr:rowOff>
        </xdr:from>
        <xdr:to>
          <xdr:col>13</xdr:col>
          <xdr:colOff>45720</xdr:colOff>
          <xdr:row>10</xdr:row>
          <xdr:rowOff>99060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198120</xdr:colOff>
          <xdr:row>11</xdr:row>
          <xdr:rowOff>53340</xdr:rowOff>
        </xdr:from>
        <xdr:to>
          <xdr:col>13</xdr:col>
          <xdr:colOff>53340</xdr:colOff>
          <xdr:row>13</xdr:row>
          <xdr:rowOff>175260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0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274320</xdr:colOff>
          <xdr:row>6</xdr:row>
          <xdr:rowOff>45720</xdr:rowOff>
        </xdr:from>
        <xdr:to>
          <xdr:col>7</xdr:col>
          <xdr:colOff>373380</xdr:colOff>
          <xdr:row>7</xdr:row>
          <xdr:rowOff>76200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197334</xdr:colOff>
      <xdr:row>22</xdr:row>
      <xdr:rowOff>112645</xdr:rowOff>
    </xdr:from>
    <xdr:to>
      <xdr:col>11</xdr:col>
      <xdr:colOff>360992</xdr:colOff>
      <xdr:row>37</xdr:row>
      <xdr:rowOff>72210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93DC951-10C3-4866-86A2-716884AD3A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230314</xdr:colOff>
      <xdr:row>21</xdr:row>
      <xdr:rowOff>120082</xdr:rowOff>
    </xdr:from>
    <xdr:to>
      <xdr:col>5</xdr:col>
      <xdr:colOff>512980</xdr:colOff>
      <xdr:row>37</xdr:row>
      <xdr:rowOff>2877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9C743B1-F906-46BB-A5C4-1D08B25AAA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325275</xdr:colOff>
      <xdr:row>21</xdr:row>
      <xdr:rowOff>145206</xdr:rowOff>
    </xdr:from>
    <xdr:to>
      <xdr:col>19</xdr:col>
      <xdr:colOff>7304</xdr:colOff>
      <xdr:row>37</xdr:row>
      <xdr:rowOff>28001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1B5946BE-DE02-4564-8B00-B85426A0D7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5</xdr:row>
      <xdr:rowOff>65852</xdr:rowOff>
    </xdr:from>
    <xdr:to>
      <xdr:col>20</xdr:col>
      <xdr:colOff>291629</xdr:colOff>
      <xdr:row>20</xdr:row>
      <xdr:rowOff>99719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AC3C1B21-DF5E-4BDA-AFED-942DBFF431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image" Target="../media/image1.png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4CDA5-2850-4357-B01B-3DA3FD2509D9}">
  <sheetPr codeName="Sheet6"/>
  <dimension ref="A1:N21"/>
  <sheetViews>
    <sheetView showGridLines="0" tabSelected="1" zoomScale="92" zoomScaleNormal="100" workbookViewId="0">
      <selection activeCell="F19" sqref="F19"/>
    </sheetView>
  </sheetViews>
  <sheetFormatPr defaultRowHeight="14.4" x14ac:dyDescent="0.3"/>
  <cols>
    <col min="1" max="1" width="18" customWidth="1"/>
    <col min="2" max="2" width="10" customWidth="1"/>
    <col min="4" max="4" width="14" customWidth="1"/>
    <col min="5" max="5" width="14.5546875" customWidth="1"/>
    <col min="6" max="6" width="9.5546875" customWidth="1"/>
    <col min="7" max="7" width="10.33203125" bestFit="1" customWidth="1"/>
    <col min="9" max="9" width="11.21875" customWidth="1"/>
    <col min="10" max="10" width="9.6640625" customWidth="1"/>
    <col min="11" max="11" width="14.44140625" bestFit="1" customWidth="1"/>
  </cols>
  <sheetData>
    <row r="1" spans="1:14" x14ac:dyDescent="0.3">
      <c r="A1" t="s">
        <v>39</v>
      </c>
      <c r="B1">
        <f>IFERROR(MATCH(F6,Months,0),"Error")</f>
        <v>3</v>
      </c>
    </row>
    <row r="2" spans="1:14" x14ac:dyDescent="0.3">
      <c r="A2" t="s">
        <v>13</v>
      </c>
      <c r="B2">
        <f>INT((DAY(EOMONTH(DATE(H6,B1, 1), 0)) + WEEKDAY(DATE(H6,B1, 1), 2) - 1) / 7) + 1</f>
        <v>6</v>
      </c>
      <c r="E2" s="15" t="s">
        <v>38</v>
      </c>
      <c r="F2" s="15"/>
      <c r="G2" s="15"/>
      <c r="H2" s="15"/>
      <c r="I2" s="15"/>
      <c r="J2" s="15"/>
      <c r="K2" s="15"/>
      <c r="L2" s="15"/>
      <c r="M2" s="15"/>
      <c r="N2" s="15"/>
    </row>
    <row r="3" spans="1:14" x14ac:dyDescent="0.3">
      <c r="A3" t="s">
        <v>40</v>
      </c>
      <c r="B3">
        <v>10</v>
      </c>
      <c r="E3" s="15"/>
      <c r="F3" s="15"/>
      <c r="G3" s="15"/>
      <c r="H3" s="15"/>
      <c r="I3" s="15"/>
      <c r="J3" s="15"/>
      <c r="K3" s="15"/>
      <c r="L3" s="15"/>
      <c r="M3" s="15"/>
      <c r="N3" s="15"/>
    </row>
    <row r="5" spans="1:14" ht="15" thickBot="1" x14ac:dyDescent="0.35">
      <c r="C5" s="3"/>
      <c r="J5" s="2"/>
    </row>
    <row r="6" spans="1:14" ht="15" thickBot="1" x14ac:dyDescent="0.35">
      <c r="E6" s="6" t="s">
        <v>14</v>
      </c>
      <c r="F6" s="12" t="s">
        <v>19</v>
      </c>
      <c r="G6" s="7" t="s">
        <v>15</v>
      </c>
      <c r="H6" s="13">
        <v>2025</v>
      </c>
      <c r="I6" s="2"/>
      <c r="J6" s="2" t="s">
        <v>46</v>
      </c>
      <c r="K6" s="2">
        <f>Model!J5</f>
        <v>3200</v>
      </c>
    </row>
    <row r="7" spans="1:14" x14ac:dyDescent="0.3">
      <c r="A7" s="8" t="s">
        <v>12</v>
      </c>
      <c r="B7" s="9"/>
    </row>
    <row r="8" spans="1:14" x14ac:dyDescent="0.3">
      <c r="A8" s="10" t="s">
        <v>0</v>
      </c>
      <c r="B8" s="14">
        <v>100</v>
      </c>
      <c r="D8" s="2"/>
    </row>
    <row r="9" spans="1:14" x14ac:dyDescent="0.3">
      <c r="A9" s="10" t="s">
        <v>1</v>
      </c>
      <c r="B9" s="14">
        <v>50</v>
      </c>
      <c r="E9" s="2" t="s">
        <v>37</v>
      </c>
      <c r="F9" s="2" t="s">
        <v>16</v>
      </c>
      <c r="G9" s="2" t="s">
        <v>59</v>
      </c>
      <c r="H9" s="2" t="s">
        <v>60</v>
      </c>
      <c r="I9" s="2" t="s">
        <v>34</v>
      </c>
      <c r="J9" s="2" t="s">
        <v>35</v>
      </c>
      <c r="K9" s="2" t="s">
        <v>36</v>
      </c>
    </row>
    <row r="10" spans="1:14" x14ac:dyDescent="0.3">
      <c r="A10" s="10" t="s">
        <v>2</v>
      </c>
      <c r="B10" s="14">
        <v>250</v>
      </c>
      <c r="E10" s="2" cm="1">
        <f t="array" ref="E10:E15">_xlfn.SEQUENCE(B2,1,,)</f>
        <v>1</v>
      </c>
      <c r="F10">
        <v>95</v>
      </c>
      <c r="G10">
        <v>3</v>
      </c>
      <c r="H10">
        <v>0</v>
      </c>
      <c r="I10">
        <v>3</v>
      </c>
      <c r="J10">
        <v>0</v>
      </c>
      <c r="K10">
        <v>0</v>
      </c>
    </row>
    <row r="11" spans="1:14" x14ac:dyDescent="0.3">
      <c r="A11" s="10" t="s">
        <v>3</v>
      </c>
      <c r="B11" s="14">
        <v>100</v>
      </c>
      <c r="E11" s="2">
        <v>2</v>
      </c>
      <c r="F11">
        <v>48</v>
      </c>
      <c r="G11">
        <v>0</v>
      </c>
      <c r="H11">
        <v>1</v>
      </c>
      <c r="I11">
        <v>2</v>
      </c>
      <c r="J11">
        <v>0</v>
      </c>
      <c r="K11">
        <v>0</v>
      </c>
    </row>
    <row r="12" spans="1:14" x14ac:dyDescent="0.3">
      <c r="A12" s="10" t="s">
        <v>4</v>
      </c>
      <c r="B12" s="14">
        <v>10</v>
      </c>
      <c r="E12" s="2">
        <v>3</v>
      </c>
      <c r="F12">
        <v>59</v>
      </c>
      <c r="G12">
        <v>0</v>
      </c>
      <c r="H12">
        <v>0</v>
      </c>
      <c r="I12">
        <v>2</v>
      </c>
      <c r="J12">
        <v>0</v>
      </c>
      <c r="K12">
        <v>0</v>
      </c>
    </row>
    <row r="13" spans="1:14" x14ac:dyDescent="0.3">
      <c r="A13" s="10" t="s">
        <v>5</v>
      </c>
      <c r="B13" s="14">
        <v>5</v>
      </c>
      <c r="E13" s="2">
        <v>4</v>
      </c>
      <c r="F13">
        <v>62</v>
      </c>
      <c r="G13">
        <v>0</v>
      </c>
      <c r="H13">
        <v>0</v>
      </c>
      <c r="I13">
        <v>2</v>
      </c>
      <c r="J13">
        <v>0</v>
      </c>
      <c r="K13">
        <v>0</v>
      </c>
    </row>
    <row r="14" spans="1:14" x14ac:dyDescent="0.3">
      <c r="A14" s="10" t="s">
        <v>6</v>
      </c>
      <c r="B14" s="14">
        <v>75</v>
      </c>
      <c r="E14" s="2">
        <v>5</v>
      </c>
      <c r="F14">
        <v>19</v>
      </c>
      <c r="G14">
        <v>0</v>
      </c>
      <c r="H14">
        <v>1</v>
      </c>
      <c r="I14">
        <v>1</v>
      </c>
      <c r="J14">
        <v>0</v>
      </c>
      <c r="K14">
        <v>0</v>
      </c>
    </row>
    <row r="15" spans="1:14" x14ac:dyDescent="0.3">
      <c r="A15" s="10" t="s">
        <v>7</v>
      </c>
      <c r="B15" s="14">
        <v>10</v>
      </c>
      <c r="E15" s="2">
        <v>6</v>
      </c>
      <c r="F15">
        <v>95</v>
      </c>
      <c r="G15">
        <v>2</v>
      </c>
      <c r="H15">
        <v>0</v>
      </c>
      <c r="I15">
        <v>3</v>
      </c>
      <c r="J15">
        <v>0</v>
      </c>
      <c r="K15">
        <v>0</v>
      </c>
    </row>
    <row r="16" spans="1:14" x14ac:dyDescent="0.3">
      <c r="A16" s="10" t="s">
        <v>8</v>
      </c>
      <c r="B16" s="14">
        <v>40</v>
      </c>
    </row>
    <row r="17" spans="1:2" x14ac:dyDescent="0.3">
      <c r="A17" s="10" t="s">
        <v>9</v>
      </c>
      <c r="B17" s="14">
        <v>10000</v>
      </c>
    </row>
    <row r="18" spans="1:2" x14ac:dyDescent="0.3">
      <c r="A18" s="10" t="s">
        <v>10</v>
      </c>
      <c r="B18" s="14">
        <v>0.95</v>
      </c>
    </row>
    <row r="19" spans="1:2" x14ac:dyDescent="0.3">
      <c r="A19" s="10" t="s">
        <v>11</v>
      </c>
      <c r="B19" s="14">
        <v>0</v>
      </c>
    </row>
    <row r="20" spans="1:2" ht="15.6" customHeight="1" x14ac:dyDescent="0.3">
      <c r="A20" s="10" t="s">
        <v>41</v>
      </c>
      <c r="B20" s="4"/>
    </row>
    <row r="21" spans="1:2" ht="15" thickBot="1" x14ac:dyDescent="0.35">
      <c r="A21" s="11" t="s">
        <v>42</v>
      </c>
      <c r="B21" s="5"/>
    </row>
  </sheetData>
  <sheetProtection algorithmName="SHA-512" hashValue="bqdTV/KMa/q+pHL72WIIeHnOybkr1NR0B7DB4XB8Bg0rwrikloWFkRhGs0tgDI3dkOpelFIOU44+zikU6WH5oQ==" saltValue="h2M6JSwuZwSilbLOu/in2w==" spinCount="100000" sheet="1" objects="1" scenarios="1"/>
  <mergeCells count="1">
    <mergeCell ref="E2:N3"/>
  </mergeCells>
  <conditionalFormatting sqref="E9:K15">
    <cfRule type="expression" dxfId="5" priority="3">
      <formula>$E$9&lt;&gt;""</formula>
    </cfRule>
  </conditionalFormatting>
  <conditionalFormatting sqref="E14:K15">
    <cfRule type="expression" dxfId="4" priority="1">
      <formula>$E14=""</formula>
    </cfRule>
  </conditionalFormatting>
  <conditionalFormatting sqref="E10:K15">
    <cfRule type="expression" dxfId="3" priority="2">
      <formula>$B$3=ROW()</formula>
    </cfRule>
  </conditionalFormatting>
  <dataValidations count="2">
    <dataValidation type="list" allowBlank="1" showInputMessage="1" showErrorMessage="1" sqref="F6" xr:uid="{08E58FEF-8354-4E4F-B4E5-7F71056E304A}">
      <formula1>Months</formula1>
    </dataValidation>
    <dataValidation type="list" allowBlank="1" showInputMessage="1" showErrorMessage="1" sqref="H6" xr:uid="{4620352C-81CD-4E3F-8E39-F21DFC004BEA}">
      <formula1>Years</formula1>
    </dataValidation>
  </dataValidations>
  <pageMargins left="0.7" right="0.7" top="0.75" bottom="0.75" header="0.3" footer="0.3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GenerateRandomNumbers">
                <anchor moveWithCells="1" sizeWithCells="1">
                  <from>
                    <xdr:col>2</xdr:col>
                    <xdr:colOff>30480</xdr:colOff>
                    <xdr:row>18</xdr:row>
                    <xdr:rowOff>167640</xdr:rowOff>
                  </from>
                  <to>
                    <xdr:col>3</xdr:col>
                    <xdr:colOff>76200</xdr:colOff>
                    <xdr:row>19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InputDemand">
                <anchor moveWithCells="1" sizeWithCells="1">
                  <from>
                    <xdr:col>2</xdr:col>
                    <xdr:colOff>22860</xdr:colOff>
                    <xdr:row>20</xdr:row>
                    <xdr:rowOff>15240</xdr:rowOff>
                  </from>
                  <to>
                    <xdr:col>3</xdr:col>
                    <xdr:colOff>68580</xdr:colOff>
                    <xdr:row>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Button 7">
              <controlPr defaultSize="0" print="0" autoFill="0" autoPict="0" macro="[0]!ClearContents">
                <anchor moveWithCells="1" sizeWithCells="1">
                  <from>
                    <xdr:col>3</xdr:col>
                    <xdr:colOff>114300</xdr:colOff>
                    <xdr:row>7</xdr:row>
                    <xdr:rowOff>160020</xdr:rowOff>
                  </from>
                  <to>
                    <xdr:col>3</xdr:col>
                    <xdr:colOff>838200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7" name="Button 15">
              <controlPr defaultSize="0" print="0" autoFill="0" autoPict="0" macro="[0]!RunSolver">
                <anchor moveWithCells="1" sizeWithCells="1">
                  <from>
                    <xdr:col>11</xdr:col>
                    <xdr:colOff>182880</xdr:colOff>
                    <xdr:row>7</xdr:row>
                    <xdr:rowOff>175260</xdr:rowOff>
                  </from>
                  <to>
                    <xdr:col>13</xdr:col>
                    <xdr:colOff>45720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8" name="Button 19">
              <controlPr defaultSize="0" print="0" autoFill="0" autoPict="0" macro="[0]!SaveData">
                <anchor moveWithCells="1" sizeWithCells="1">
                  <from>
                    <xdr:col>11</xdr:col>
                    <xdr:colOff>198120</xdr:colOff>
                    <xdr:row>11</xdr:row>
                    <xdr:rowOff>53340</xdr:rowOff>
                  </from>
                  <to>
                    <xdr:col>13</xdr:col>
                    <xdr:colOff>53340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9" name="Button 21">
              <controlPr defaultSize="0" print="0" autoFill="0" autoPict="0" macro="[0]!BringData">
                <anchor moveWithCells="1" sizeWithCells="1">
                  <from>
                    <xdr:col>4</xdr:col>
                    <xdr:colOff>274320</xdr:colOff>
                    <xdr:row>6</xdr:row>
                    <xdr:rowOff>45720</xdr:rowOff>
                  </from>
                  <to>
                    <xdr:col>7</xdr:col>
                    <xdr:colOff>373380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C46B3-243F-4CD9-A699-820C73DB7386}">
  <sheetPr codeName="Sheet1"/>
  <dimension ref="A1:O16"/>
  <sheetViews>
    <sheetView zoomScale="85" zoomScaleNormal="100" workbookViewId="0">
      <selection activeCell="N4" sqref="N4"/>
    </sheetView>
  </sheetViews>
  <sheetFormatPr defaultRowHeight="14.4" x14ac:dyDescent="0.3"/>
  <sheetData>
    <row r="1" spans="1:15" x14ac:dyDescent="0.3">
      <c r="A1" t="s">
        <v>51</v>
      </c>
    </row>
    <row r="2" spans="1:15" x14ac:dyDescent="0.3">
      <c r="A2" t="str" cm="1">
        <f t="array" aca="1" ref="A2:G8" ca="1">OFFSET(Application!E9,,,COUNTA(Application!E9:E15),7)</f>
        <v>Week</v>
      </c>
      <c r="B2" t="str">
        <f ca="1"/>
        <v>Demand</v>
      </c>
      <c r="C2" t="str">
        <f ca="1"/>
        <v>Hired</v>
      </c>
      <c r="D2" t="str">
        <f ca="1"/>
        <v>Fired</v>
      </c>
      <c r="E2" t="str">
        <f ca="1"/>
        <v>Employees</v>
      </c>
      <c r="F2" t="str">
        <f ca="1"/>
        <v>Overtime</v>
      </c>
      <c r="G2" t="str">
        <f ca="1"/>
        <v>Unmet Demand</v>
      </c>
      <c r="H2" t="s">
        <v>52</v>
      </c>
    </row>
    <row r="3" spans="1:15" x14ac:dyDescent="0.3">
      <c r="A3">
        <f ca="1"/>
        <v>1</v>
      </c>
      <c r="B3">
        <f ca="1"/>
        <v>95</v>
      </c>
      <c r="C3">
        <f ca="1"/>
        <v>3</v>
      </c>
      <c r="D3">
        <f ca="1"/>
        <v>0</v>
      </c>
      <c r="E3">
        <f ca="1"/>
        <v>3</v>
      </c>
      <c r="F3">
        <f ca="1"/>
        <v>0</v>
      </c>
      <c r="G3">
        <f ca="1"/>
        <v>0</v>
      </c>
      <c r="H3">
        <f ca="1">E3*Application!$B$16+ChartsData!F3</f>
        <v>120</v>
      </c>
    </row>
    <row r="4" spans="1:15" x14ac:dyDescent="0.3">
      <c r="A4">
        <f ca="1"/>
        <v>2</v>
      </c>
      <c r="B4">
        <f ca="1"/>
        <v>48</v>
      </c>
      <c r="C4">
        <f ca="1"/>
        <v>0</v>
      </c>
      <c r="D4">
        <f ca="1"/>
        <v>1</v>
      </c>
      <c r="E4">
        <f ca="1"/>
        <v>2</v>
      </c>
      <c r="F4">
        <f ca="1"/>
        <v>0</v>
      </c>
      <c r="G4">
        <f ca="1"/>
        <v>0</v>
      </c>
      <c r="H4">
        <f ca="1">E4*Application!$B$16+ChartsData!F4</f>
        <v>80</v>
      </c>
    </row>
    <row r="5" spans="1:15" x14ac:dyDescent="0.3">
      <c r="A5">
        <f ca="1"/>
        <v>3</v>
      </c>
      <c r="B5">
        <f ca="1"/>
        <v>59</v>
      </c>
      <c r="C5">
        <f ca="1"/>
        <v>0</v>
      </c>
      <c r="D5">
        <f ca="1"/>
        <v>0</v>
      </c>
      <c r="E5">
        <f ca="1"/>
        <v>2</v>
      </c>
      <c r="F5">
        <f ca="1"/>
        <v>0</v>
      </c>
      <c r="G5">
        <f ca="1"/>
        <v>0</v>
      </c>
      <c r="H5">
        <f ca="1">E5*Application!$B$16+ChartsData!F5</f>
        <v>80</v>
      </c>
    </row>
    <row r="6" spans="1:15" x14ac:dyDescent="0.3">
      <c r="A6">
        <f ca="1"/>
        <v>4</v>
      </c>
      <c r="B6">
        <f ca="1"/>
        <v>62</v>
      </c>
      <c r="C6">
        <f ca="1"/>
        <v>0</v>
      </c>
      <c r="D6">
        <f ca="1"/>
        <v>0</v>
      </c>
      <c r="E6">
        <f ca="1"/>
        <v>2</v>
      </c>
      <c r="F6">
        <f ca="1"/>
        <v>0</v>
      </c>
      <c r="G6">
        <f ca="1"/>
        <v>0</v>
      </c>
      <c r="H6">
        <f ca="1">E6*Application!$B$16+ChartsData!F6</f>
        <v>80</v>
      </c>
    </row>
    <row r="7" spans="1:15" x14ac:dyDescent="0.3">
      <c r="A7">
        <f ca="1"/>
        <v>5</v>
      </c>
      <c r="B7">
        <f ca="1"/>
        <v>19</v>
      </c>
      <c r="C7">
        <f ca="1"/>
        <v>0</v>
      </c>
      <c r="D7">
        <f ca="1"/>
        <v>1</v>
      </c>
      <c r="E7">
        <f ca="1"/>
        <v>1</v>
      </c>
      <c r="F7">
        <f ca="1"/>
        <v>0</v>
      </c>
      <c r="G7">
        <f ca="1"/>
        <v>0</v>
      </c>
      <c r="H7">
        <f ca="1">E7*Application!$B$16+ChartsData!F7</f>
        <v>40</v>
      </c>
    </row>
    <row r="8" spans="1:15" x14ac:dyDescent="0.3">
      <c r="A8">
        <f ca="1"/>
        <v>6</v>
      </c>
      <c r="B8">
        <f ca="1"/>
        <v>95</v>
      </c>
      <c r="C8">
        <f ca="1"/>
        <v>2</v>
      </c>
      <c r="D8">
        <f ca="1"/>
        <v>0</v>
      </c>
      <c r="E8">
        <f ca="1"/>
        <v>3</v>
      </c>
      <c r="F8">
        <f ca="1"/>
        <v>0</v>
      </c>
      <c r="G8">
        <f ca="1"/>
        <v>0</v>
      </c>
      <c r="H8">
        <f ca="1">IF(A8&lt;&gt;"", E8*Application!$B$16+ChartsData!F8,"")</f>
        <v>120</v>
      </c>
    </row>
    <row r="10" spans="1:15" x14ac:dyDescent="0.3">
      <c r="A10" t="str" cm="1">
        <f t="array" aca="1" ref="A10:H16" ca="1">OFFSET(A2,,,COUNTA(A3:A8)+1,8)</f>
        <v>Week</v>
      </c>
      <c r="B10" t="str">
        <f ca="1"/>
        <v>Demand</v>
      </c>
      <c r="C10" t="str">
        <f ca="1"/>
        <v>Hired</v>
      </c>
      <c r="D10" t="str">
        <f ca="1"/>
        <v>Fired</v>
      </c>
      <c r="E10" t="str">
        <f ca="1"/>
        <v>Employees</v>
      </c>
      <c r="F10" t="str">
        <f ca="1"/>
        <v>Overtime</v>
      </c>
      <c r="G10" t="str">
        <f ca="1"/>
        <v>Unmet Demand</v>
      </c>
      <c r="H10" t="str">
        <f ca="1"/>
        <v>Total Workforce</v>
      </c>
      <c r="J10" t="s">
        <v>53</v>
      </c>
      <c r="K10" t="s">
        <v>54</v>
      </c>
      <c r="L10" t="s">
        <v>55</v>
      </c>
      <c r="M10" t="s">
        <v>56</v>
      </c>
      <c r="N10" t="s">
        <v>57</v>
      </c>
      <c r="O10" t="s">
        <v>58</v>
      </c>
    </row>
    <row r="11" spans="1:15" x14ac:dyDescent="0.3">
      <c r="A11">
        <f ca="1"/>
        <v>1</v>
      </c>
      <c r="B11">
        <f ca="1"/>
        <v>95</v>
      </c>
      <c r="C11">
        <f ca="1"/>
        <v>3</v>
      </c>
      <c r="D11">
        <f ca="1"/>
        <v>0</v>
      </c>
      <c r="E11">
        <f ca="1"/>
        <v>3</v>
      </c>
      <c r="F11">
        <f ca="1"/>
        <v>0</v>
      </c>
      <c r="G11">
        <f ca="1"/>
        <v>0</v>
      </c>
      <c r="H11">
        <f ca="1"/>
        <v>120</v>
      </c>
      <c r="K11">
        <f ca="1">SUM(C11:C16)*Application!B8</f>
        <v>500</v>
      </c>
      <c r="L11">
        <f ca="1">SUM(D11:D16)*Application!B9</f>
        <v>100</v>
      </c>
      <c r="M11">
        <f ca="1">SUM(E11:E16)*Application!B10</f>
        <v>3250</v>
      </c>
      <c r="N11">
        <f ca="1">SUM(F11:F16)*Application!B14</f>
        <v>0</v>
      </c>
      <c r="O11">
        <f ca="1">SUM(G11:G16)*Application!B11</f>
        <v>0</v>
      </c>
    </row>
    <row r="12" spans="1:15" x14ac:dyDescent="0.3">
      <c r="A12">
        <f ca="1"/>
        <v>2</v>
      </c>
      <c r="B12">
        <f ca="1"/>
        <v>48</v>
      </c>
      <c r="C12">
        <f ca="1"/>
        <v>0</v>
      </c>
      <c r="D12">
        <f ca="1"/>
        <v>1</v>
      </c>
      <c r="E12">
        <f ca="1"/>
        <v>2</v>
      </c>
      <c r="F12">
        <f ca="1"/>
        <v>0</v>
      </c>
      <c r="G12">
        <f ca="1"/>
        <v>0</v>
      </c>
      <c r="H12">
        <f ca="1"/>
        <v>80</v>
      </c>
    </row>
    <row r="13" spans="1:15" x14ac:dyDescent="0.3">
      <c r="A13">
        <f ca="1"/>
        <v>3</v>
      </c>
      <c r="B13">
        <f ca="1"/>
        <v>59</v>
      </c>
      <c r="C13">
        <f ca="1"/>
        <v>0</v>
      </c>
      <c r="D13">
        <f ca="1"/>
        <v>0</v>
      </c>
      <c r="E13">
        <f ca="1"/>
        <v>2</v>
      </c>
      <c r="F13">
        <f ca="1"/>
        <v>0</v>
      </c>
      <c r="G13">
        <f ca="1"/>
        <v>0</v>
      </c>
      <c r="H13">
        <f ca="1"/>
        <v>80</v>
      </c>
    </row>
    <row r="14" spans="1:15" x14ac:dyDescent="0.3">
      <c r="A14">
        <f ca="1"/>
        <v>4</v>
      </c>
      <c r="B14">
        <f ca="1"/>
        <v>62</v>
      </c>
      <c r="C14">
        <f ca="1"/>
        <v>0</v>
      </c>
      <c r="D14">
        <f ca="1"/>
        <v>0</v>
      </c>
      <c r="E14">
        <f ca="1"/>
        <v>2</v>
      </c>
      <c r="F14">
        <f ca="1"/>
        <v>0</v>
      </c>
      <c r="G14">
        <f ca="1"/>
        <v>0</v>
      </c>
      <c r="H14">
        <f ca="1"/>
        <v>80</v>
      </c>
    </row>
    <row r="15" spans="1:15" x14ac:dyDescent="0.3">
      <c r="A15">
        <f ca="1"/>
        <v>5</v>
      </c>
      <c r="B15">
        <f ca="1"/>
        <v>19</v>
      </c>
      <c r="C15">
        <f ca="1"/>
        <v>0</v>
      </c>
      <c r="D15">
        <f ca="1"/>
        <v>1</v>
      </c>
      <c r="E15">
        <f ca="1"/>
        <v>1</v>
      </c>
      <c r="F15">
        <f ca="1"/>
        <v>0</v>
      </c>
      <c r="G15">
        <f ca="1"/>
        <v>0</v>
      </c>
      <c r="H15">
        <f ca="1"/>
        <v>40</v>
      </c>
    </row>
    <row r="16" spans="1:15" x14ac:dyDescent="0.3">
      <c r="A16">
        <f ca="1"/>
        <v>6</v>
      </c>
      <c r="B16">
        <f ca="1"/>
        <v>95</v>
      </c>
      <c r="C16">
        <f ca="1"/>
        <v>2</v>
      </c>
      <c r="D16">
        <f ca="1"/>
        <v>0</v>
      </c>
      <c r="E16">
        <f ca="1"/>
        <v>3</v>
      </c>
      <c r="F16">
        <f ca="1"/>
        <v>0</v>
      </c>
      <c r="G16">
        <f ca="1"/>
        <v>0</v>
      </c>
      <c r="H16">
        <f ca="1"/>
        <v>120</v>
      </c>
    </row>
  </sheetData>
  <sheetProtection algorithmName="SHA-512" hashValue="B0NuN6M6pZBSxiVjcAM7JKC+2tk8b9MeHWvFqtucx2umVhekfMazQPkzXAsfsRj/sj2JUahO72uIiYdfAH9ihQ==" saltValue="/5r7D6ruOFtmizLlZJH3hA==" spinCount="100000" sheet="1" objects="1" scenarios="1" selectLockedCells="1" selectUn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02241-ED64-492A-AD54-2C8A8A284327}">
  <sheetPr codeName="Sheet10"/>
  <dimension ref="A1:J17"/>
  <sheetViews>
    <sheetView workbookViewId="0">
      <selection activeCell="I16" sqref="I16"/>
    </sheetView>
  </sheetViews>
  <sheetFormatPr defaultRowHeight="14.4" x14ac:dyDescent="0.3"/>
  <cols>
    <col min="1" max="1" width="10.33203125" customWidth="1"/>
    <col min="3" max="4" width="13.77734375" customWidth="1"/>
    <col min="5" max="5" width="13.6640625" customWidth="1"/>
    <col min="7" max="7" width="13.5546875" bestFit="1" customWidth="1"/>
    <col min="10" max="10" width="12.88671875" customWidth="1"/>
  </cols>
  <sheetData>
    <row r="1" spans="1:10" x14ac:dyDescent="0.3">
      <c r="A1" t="s">
        <v>43</v>
      </c>
    </row>
    <row r="2" spans="1:10" x14ac:dyDescent="0.3">
      <c r="A2" t="s">
        <v>34</v>
      </c>
      <c r="B2" t="s">
        <v>16</v>
      </c>
      <c r="C2" t="s">
        <v>47</v>
      </c>
      <c r="D2" t="s">
        <v>48</v>
      </c>
      <c r="E2" t="s">
        <v>44</v>
      </c>
      <c r="F2" t="s">
        <v>35</v>
      </c>
      <c r="G2" t="s">
        <v>36</v>
      </c>
      <c r="H2" t="s">
        <v>49</v>
      </c>
      <c r="I2" t="s">
        <v>45</v>
      </c>
      <c r="J2">
        <f>IF(A17&lt;&gt;"", SUM(C12:C17)*Application!B8+SUM(D12:D17)*Application!B9+SUM(E12:E17)*Application!B10+SUM(F12:F17)*Application!B14+SUM(G12:G17)*Application!B11, SUM(C12:C16)*Application!B8+SUM(D12:D16)*Application!B9+SUM(E12:E16)*Application!B10+SUM(F12:F16)*Application!B14+SUM(G12:G16)*Application!B11)</f>
        <v>3200</v>
      </c>
    </row>
    <row r="3" spans="1:10" x14ac:dyDescent="0.3">
      <c r="A3">
        <f>Application!$B$19+C12-D12</f>
        <v>3</v>
      </c>
      <c r="B3">
        <f>E12*Application!$B$16+F12+G12</f>
        <v>120</v>
      </c>
      <c r="C3">
        <f>B12*Application!$B$18</f>
        <v>90.25</v>
      </c>
      <c r="D3">
        <f>Application!$B$12</f>
        <v>10</v>
      </c>
      <c r="E3">
        <f>Application!$B$13</f>
        <v>5</v>
      </c>
      <c r="F3">
        <f>E12*Application!$B$15</f>
        <v>30</v>
      </c>
      <c r="G3">
        <f>B12-E12*Application!$B$16-F12</f>
        <v>-25</v>
      </c>
      <c r="H3">
        <f>Application!B17</f>
        <v>10000</v>
      </c>
    </row>
    <row r="4" spans="1:10" x14ac:dyDescent="0.3">
      <c r="A4">
        <f>E12+C13-D13</f>
        <v>3</v>
      </c>
      <c r="B4">
        <f>E13*Application!$B$16+F13+G13</f>
        <v>120</v>
      </c>
      <c r="C4">
        <f>B13*Application!$B$18</f>
        <v>45.599999999999994</v>
      </c>
      <c r="D4">
        <f>Application!$B$12</f>
        <v>10</v>
      </c>
      <c r="E4">
        <f>Application!$B$13</f>
        <v>5</v>
      </c>
      <c r="F4">
        <f>E13*Application!$B$15</f>
        <v>30</v>
      </c>
      <c r="G4">
        <f>B13-E13*Application!$B$16-F13</f>
        <v>-72</v>
      </c>
    </row>
    <row r="5" spans="1:10" x14ac:dyDescent="0.3">
      <c r="A5">
        <f>E13+C14-D14</f>
        <v>2</v>
      </c>
      <c r="B5">
        <f>E14*Application!$B$16+F14+G14</f>
        <v>80</v>
      </c>
      <c r="C5">
        <f>B14*Application!$B$18</f>
        <v>56.05</v>
      </c>
      <c r="D5">
        <f>Application!$B$12</f>
        <v>10</v>
      </c>
      <c r="E5">
        <f>Application!$B$13</f>
        <v>5</v>
      </c>
      <c r="F5">
        <f>E14*Application!$B$15</f>
        <v>20</v>
      </c>
      <c r="G5">
        <f>B14-E14*Application!$B$16-F14</f>
        <v>-21</v>
      </c>
      <c r="I5" t="s">
        <v>46</v>
      </c>
      <c r="J5">
        <f>IF(A17&lt;&gt;"", SUM(C12:C17)*Application!B8+SUM(D12:D17)*Application!B9+SUM(E12:E17)*Application!B10+SUM(F12:F17)*Application!B14, SUM(C12:C16)*Application!B8+SUM(D12:D16)*Application!B9+SUM(E12:E16)*Application!B10+SUM(F12:F16)*Application!B14)</f>
        <v>3200</v>
      </c>
    </row>
    <row r="6" spans="1:10" x14ac:dyDescent="0.3">
      <c r="A6">
        <f>E14+C15-D15</f>
        <v>2</v>
      </c>
      <c r="B6">
        <f>E15*Application!$B$16+F15+G15</f>
        <v>80</v>
      </c>
      <c r="C6">
        <f>B15*Application!$B$18</f>
        <v>58.9</v>
      </c>
      <c r="D6">
        <f>Application!$B$12</f>
        <v>10</v>
      </c>
      <c r="E6">
        <f>Application!$B$13</f>
        <v>5</v>
      </c>
      <c r="F6">
        <f>E15*Application!$B$15</f>
        <v>20</v>
      </c>
      <c r="G6">
        <f>B15-E15*Application!$B$16-F15</f>
        <v>-18</v>
      </c>
    </row>
    <row r="7" spans="1:10" x14ac:dyDescent="0.3">
      <c r="A7">
        <f>E15+C16-D16</f>
        <v>1</v>
      </c>
      <c r="B7">
        <f>E16*Application!$B$16+F16+G16</f>
        <v>40</v>
      </c>
      <c r="C7">
        <f>B16*Application!$B$18</f>
        <v>18.05</v>
      </c>
      <c r="D7">
        <f>Application!$B$12</f>
        <v>10</v>
      </c>
      <c r="E7">
        <f>Application!$B$13</f>
        <v>5</v>
      </c>
      <c r="F7">
        <f>E16*Application!$B$15</f>
        <v>10</v>
      </c>
      <c r="G7">
        <f>B16-E16*Application!$B$16-F16</f>
        <v>-21</v>
      </c>
    </row>
    <row r="8" spans="1:10" x14ac:dyDescent="0.3">
      <c r="A8">
        <f>E16+C17-D17</f>
        <v>0</v>
      </c>
      <c r="B8">
        <f>E17*Application!$B$16+F17+G17</f>
        <v>0</v>
      </c>
      <c r="C8">
        <f>B17*Application!$B$18</f>
        <v>90.25</v>
      </c>
      <c r="D8">
        <f>Application!$B$12</f>
        <v>10</v>
      </c>
      <c r="E8">
        <f>Application!$B$13</f>
        <v>5</v>
      </c>
      <c r="F8">
        <f>E17*Application!$B$15</f>
        <v>0</v>
      </c>
      <c r="G8">
        <f>B17-E17*Application!$B$16-F17</f>
        <v>95</v>
      </c>
    </row>
    <row r="11" spans="1:10" x14ac:dyDescent="0.3">
      <c r="A11" t="s">
        <v>37</v>
      </c>
      <c r="B11" t="s">
        <v>16</v>
      </c>
      <c r="C11" t="s">
        <v>59</v>
      </c>
      <c r="D11" t="s">
        <v>60</v>
      </c>
      <c r="E11" t="s">
        <v>34</v>
      </c>
      <c r="F11" t="s">
        <v>35</v>
      </c>
      <c r="G11" t="s">
        <v>36</v>
      </c>
    </row>
    <row r="12" spans="1:10" x14ac:dyDescent="0.3">
      <c r="A12" cm="1">
        <f t="array" ref="A12:A17">_xlfn.SEQUENCE(Application!$B$2,1,,)</f>
        <v>1</v>
      </c>
      <c r="B12">
        <f>Application!F10</f>
        <v>95</v>
      </c>
      <c r="C12">
        <v>3</v>
      </c>
      <c r="D12">
        <v>0</v>
      </c>
      <c r="E12">
        <v>3</v>
      </c>
      <c r="F12">
        <v>0</v>
      </c>
      <c r="G12">
        <v>0</v>
      </c>
    </row>
    <row r="13" spans="1:10" x14ac:dyDescent="0.3">
      <c r="A13">
        <v>2</v>
      </c>
      <c r="B13">
        <f>Application!F11</f>
        <v>48</v>
      </c>
      <c r="C13">
        <v>0</v>
      </c>
      <c r="D13">
        <v>0</v>
      </c>
      <c r="E13">
        <v>3</v>
      </c>
      <c r="F13">
        <v>0</v>
      </c>
      <c r="G13">
        <v>0</v>
      </c>
    </row>
    <row r="14" spans="1:10" x14ac:dyDescent="0.3">
      <c r="A14">
        <v>3</v>
      </c>
      <c r="B14">
        <f>Application!F12</f>
        <v>59</v>
      </c>
      <c r="C14">
        <v>0</v>
      </c>
      <c r="D14">
        <v>1</v>
      </c>
      <c r="E14">
        <v>2</v>
      </c>
      <c r="F14">
        <v>0</v>
      </c>
      <c r="G14">
        <v>0</v>
      </c>
    </row>
    <row r="15" spans="1:10" x14ac:dyDescent="0.3">
      <c r="A15">
        <v>4</v>
      </c>
      <c r="B15">
        <f>Application!F13</f>
        <v>62</v>
      </c>
      <c r="C15">
        <v>0</v>
      </c>
      <c r="D15">
        <v>0</v>
      </c>
      <c r="E15">
        <v>2</v>
      </c>
      <c r="F15">
        <v>0</v>
      </c>
      <c r="G15">
        <v>0</v>
      </c>
    </row>
    <row r="16" spans="1:10" x14ac:dyDescent="0.3">
      <c r="A16">
        <v>5</v>
      </c>
      <c r="B16">
        <f>Application!F14</f>
        <v>19</v>
      </c>
      <c r="C16">
        <v>0</v>
      </c>
      <c r="D16">
        <v>1</v>
      </c>
      <c r="E16">
        <v>1</v>
      </c>
      <c r="F16">
        <v>0</v>
      </c>
      <c r="G16">
        <v>0</v>
      </c>
    </row>
    <row r="17" spans="1:7" x14ac:dyDescent="0.3">
      <c r="A17">
        <v>6</v>
      </c>
      <c r="B17">
        <f>Application!F15</f>
        <v>95</v>
      </c>
      <c r="C17">
        <v>0</v>
      </c>
      <c r="D17">
        <v>1</v>
      </c>
      <c r="E17">
        <v>0</v>
      </c>
      <c r="F17">
        <v>0</v>
      </c>
      <c r="G17">
        <v>0</v>
      </c>
    </row>
  </sheetData>
  <sheetProtection algorithmName="SHA-512" hashValue="8MVH3aN4r+puE40HX5aB43AHcuiECm/U3pKJwJEVrdWMj0PBkGT12CevHpTueBFHyYrvZG3zWCGN4Vj3OUc+Lw==" saltValue="2dWYAwmHndIj2ERoyYz24Q==" spinCount="100000" sheet="1" objects="1" scenarios="1" selectLockedCells="1" selectUnlockedCells="1"/>
  <conditionalFormatting sqref="C17:G17">
    <cfRule type="expression" dxfId="2" priority="3">
      <formula>$E$9&lt;&gt;""</formula>
    </cfRule>
  </conditionalFormatting>
  <conditionalFormatting sqref="C17:G17">
    <cfRule type="expression" dxfId="1" priority="1">
      <formula>$E17=""</formula>
    </cfRule>
  </conditionalFormatting>
  <conditionalFormatting sqref="C17:G17">
    <cfRule type="expression" dxfId="0" priority="2">
      <formula>$B$3=ROW()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1235F-41AF-4611-89E3-755AB1AD5E0D}">
  <sheetPr codeName="Sheet4"/>
  <dimension ref="A1:I12"/>
  <sheetViews>
    <sheetView workbookViewId="0">
      <selection activeCell="A2" sqref="A2:G6"/>
    </sheetView>
  </sheetViews>
  <sheetFormatPr defaultRowHeight="14.4" x14ac:dyDescent="0.3"/>
  <cols>
    <col min="1" max="1" width="5.5546875" bestFit="1" customWidth="1"/>
    <col min="2" max="2" width="7.77734375" bestFit="1" customWidth="1"/>
    <col min="3" max="3" width="7.77734375" customWidth="1"/>
    <col min="4" max="4" width="7" customWidth="1"/>
    <col min="5" max="5" width="10" customWidth="1"/>
    <col min="6" max="6" width="9" customWidth="1"/>
    <col min="7" max="7" width="14.77734375" customWidth="1"/>
  </cols>
  <sheetData>
    <row r="1" spans="1:9" x14ac:dyDescent="0.3">
      <c r="A1" t="s">
        <v>37</v>
      </c>
      <c r="B1" t="s">
        <v>16</v>
      </c>
      <c r="C1" t="s">
        <v>32</v>
      </c>
      <c r="D1" t="s">
        <v>33</v>
      </c>
      <c r="E1" t="s">
        <v>34</v>
      </c>
      <c r="F1" t="s">
        <v>35</v>
      </c>
      <c r="G1" t="s">
        <v>36</v>
      </c>
      <c r="H1" t="s">
        <v>50</v>
      </c>
      <c r="I1" t="s">
        <v>39</v>
      </c>
    </row>
    <row r="2" spans="1:9" x14ac:dyDescent="0.3">
      <c r="A2">
        <v>1</v>
      </c>
      <c r="B2">
        <v>84</v>
      </c>
      <c r="C2">
        <v>3</v>
      </c>
      <c r="D2">
        <v>0</v>
      </c>
      <c r="E2">
        <v>3</v>
      </c>
      <c r="F2">
        <v>0</v>
      </c>
      <c r="G2">
        <v>0</v>
      </c>
      <c r="H2">
        <v>2025</v>
      </c>
      <c r="I2">
        <v>1</v>
      </c>
    </row>
    <row r="3" spans="1:9" x14ac:dyDescent="0.3">
      <c r="A3">
        <v>2</v>
      </c>
      <c r="B3">
        <v>88</v>
      </c>
      <c r="C3">
        <v>0</v>
      </c>
      <c r="D3">
        <v>0</v>
      </c>
      <c r="E3">
        <v>3</v>
      </c>
      <c r="F3">
        <v>0</v>
      </c>
      <c r="G3">
        <v>0</v>
      </c>
      <c r="H3">
        <v>2025</v>
      </c>
      <c r="I3">
        <v>1</v>
      </c>
    </row>
    <row r="4" spans="1:9" x14ac:dyDescent="0.3">
      <c r="A4">
        <v>3</v>
      </c>
      <c r="B4">
        <v>59</v>
      </c>
      <c r="C4">
        <v>0</v>
      </c>
      <c r="D4">
        <v>1</v>
      </c>
      <c r="E4">
        <v>2</v>
      </c>
      <c r="F4">
        <v>0</v>
      </c>
      <c r="G4">
        <v>0</v>
      </c>
      <c r="H4">
        <v>2025</v>
      </c>
      <c r="I4">
        <v>1</v>
      </c>
    </row>
    <row r="5" spans="1:9" x14ac:dyDescent="0.3">
      <c r="A5">
        <v>4</v>
      </c>
      <c r="B5">
        <v>44</v>
      </c>
      <c r="C5">
        <v>0</v>
      </c>
      <c r="D5">
        <v>0</v>
      </c>
      <c r="E5">
        <v>2</v>
      </c>
      <c r="F5">
        <v>0</v>
      </c>
      <c r="G5">
        <v>0</v>
      </c>
      <c r="H5">
        <v>2025</v>
      </c>
      <c r="I5">
        <v>1</v>
      </c>
    </row>
    <row r="6" spans="1:9" x14ac:dyDescent="0.3">
      <c r="A6">
        <v>5</v>
      </c>
      <c r="B6">
        <v>31</v>
      </c>
      <c r="C6">
        <v>0</v>
      </c>
      <c r="D6">
        <v>1</v>
      </c>
      <c r="E6">
        <v>1</v>
      </c>
      <c r="F6">
        <v>0</v>
      </c>
      <c r="G6">
        <v>0</v>
      </c>
      <c r="H6">
        <v>2025</v>
      </c>
      <c r="I6">
        <v>1</v>
      </c>
    </row>
    <row r="7" spans="1:9" x14ac:dyDescent="0.3">
      <c r="A7">
        <v>1</v>
      </c>
      <c r="B7">
        <v>95</v>
      </c>
      <c r="C7">
        <v>3</v>
      </c>
      <c r="D7">
        <v>0</v>
      </c>
      <c r="E7">
        <v>3</v>
      </c>
      <c r="F7">
        <v>0</v>
      </c>
      <c r="G7">
        <v>0</v>
      </c>
      <c r="H7">
        <v>2025</v>
      </c>
      <c r="I7">
        <v>3</v>
      </c>
    </row>
    <row r="8" spans="1:9" x14ac:dyDescent="0.3">
      <c r="A8">
        <v>2</v>
      </c>
      <c r="B8">
        <v>48</v>
      </c>
      <c r="C8">
        <v>0</v>
      </c>
      <c r="D8">
        <v>1</v>
      </c>
      <c r="E8">
        <v>2</v>
      </c>
      <c r="F8">
        <v>0</v>
      </c>
      <c r="G8">
        <v>0</v>
      </c>
      <c r="H8">
        <v>2025</v>
      </c>
      <c r="I8">
        <v>3</v>
      </c>
    </row>
    <row r="9" spans="1:9" x14ac:dyDescent="0.3">
      <c r="A9">
        <v>3</v>
      </c>
      <c r="B9">
        <v>59</v>
      </c>
      <c r="C9">
        <v>0</v>
      </c>
      <c r="D9">
        <v>0</v>
      </c>
      <c r="E9">
        <v>2</v>
      </c>
      <c r="F9">
        <v>0</v>
      </c>
      <c r="G9">
        <v>0</v>
      </c>
      <c r="H9">
        <v>2025</v>
      </c>
      <c r="I9">
        <v>3</v>
      </c>
    </row>
    <row r="10" spans="1:9" x14ac:dyDescent="0.3">
      <c r="A10">
        <v>4</v>
      </c>
      <c r="B10">
        <v>62</v>
      </c>
      <c r="C10">
        <v>0</v>
      </c>
      <c r="D10">
        <v>0</v>
      </c>
      <c r="E10">
        <v>2</v>
      </c>
      <c r="F10">
        <v>0</v>
      </c>
      <c r="G10">
        <v>0</v>
      </c>
      <c r="H10">
        <v>2025</v>
      </c>
      <c r="I10">
        <v>3</v>
      </c>
    </row>
    <row r="11" spans="1:9" x14ac:dyDescent="0.3">
      <c r="A11">
        <v>5</v>
      </c>
      <c r="B11">
        <v>19</v>
      </c>
      <c r="C11">
        <v>0</v>
      </c>
      <c r="D11">
        <v>1</v>
      </c>
      <c r="E11">
        <v>1</v>
      </c>
      <c r="F11">
        <v>0</v>
      </c>
      <c r="G11">
        <v>0</v>
      </c>
      <c r="H11">
        <v>2025</v>
      </c>
      <c r="I11">
        <v>3</v>
      </c>
    </row>
    <row r="12" spans="1:9" x14ac:dyDescent="0.3">
      <c r="A12">
        <v>6</v>
      </c>
      <c r="B12">
        <v>95</v>
      </c>
      <c r="C12">
        <v>2</v>
      </c>
      <c r="D12">
        <v>0</v>
      </c>
      <c r="E12">
        <v>3</v>
      </c>
      <c r="F12">
        <v>0</v>
      </c>
      <c r="G12">
        <v>0</v>
      </c>
      <c r="H12">
        <v>2025</v>
      </c>
      <c r="I12">
        <v>3</v>
      </c>
    </row>
  </sheetData>
  <sheetProtection algorithmName="SHA-512" hashValue="oaOCNpW+v4c1AeQTTcqvOmx+3Z8uhqwqrZMBHWHIVbHVcM9PuLaIz1rhEEs6XRB2OXtjV0kdSw3hZdnz0hanHQ==" saltValue="WlERubTWj6o0GGHd8gc44A==" spinCount="100000" sheet="1" objects="1" scenarios="1"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C46F7-B137-4169-8B03-7025748AFBCD}">
  <sheetPr codeName="Sheet8"/>
  <dimension ref="A1:B14"/>
  <sheetViews>
    <sheetView workbookViewId="0">
      <selection activeCell="I16" sqref="I16"/>
    </sheetView>
  </sheetViews>
  <sheetFormatPr defaultRowHeight="14.4" x14ac:dyDescent="0.3"/>
  <sheetData>
    <row r="1" spans="1:2" x14ac:dyDescent="0.3">
      <c r="A1" s="16" t="s">
        <v>31</v>
      </c>
      <c r="B1" s="16"/>
    </row>
    <row r="2" spans="1:2" x14ac:dyDescent="0.3">
      <c r="A2" s="1" t="s">
        <v>29</v>
      </c>
      <c r="B2" s="1" t="s">
        <v>30</v>
      </c>
    </row>
    <row r="3" spans="1:2" x14ac:dyDescent="0.3">
      <c r="A3" t="s">
        <v>17</v>
      </c>
      <c r="B3">
        <v>2025</v>
      </c>
    </row>
    <row r="4" spans="1:2" x14ac:dyDescent="0.3">
      <c r="A4" t="s">
        <v>18</v>
      </c>
      <c r="B4">
        <v>2026</v>
      </c>
    </row>
    <row r="5" spans="1:2" x14ac:dyDescent="0.3">
      <c r="A5" t="s">
        <v>19</v>
      </c>
      <c r="B5">
        <v>2027</v>
      </c>
    </row>
    <row r="6" spans="1:2" x14ac:dyDescent="0.3">
      <c r="A6" t="s">
        <v>20</v>
      </c>
      <c r="B6">
        <v>2028</v>
      </c>
    </row>
    <row r="7" spans="1:2" x14ac:dyDescent="0.3">
      <c r="A7" t="s">
        <v>21</v>
      </c>
      <c r="B7">
        <v>2029</v>
      </c>
    </row>
    <row r="8" spans="1:2" x14ac:dyDescent="0.3">
      <c r="A8" t="s">
        <v>22</v>
      </c>
    </row>
    <row r="9" spans="1:2" x14ac:dyDescent="0.3">
      <c r="A9" t="s">
        <v>23</v>
      </c>
    </row>
    <row r="10" spans="1:2" x14ac:dyDescent="0.3">
      <c r="A10" t="s">
        <v>24</v>
      </c>
    </row>
    <row r="11" spans="1:2" x14ac:dyDescent="0.3">
      <c r="A11" t="s">
        <v>25</v>
      </c>
    </row>
    <row r="12" spans="1:2" x14ac:dyDescent="0.3">
      <c r="A12" t="s">
        <v>26</v>
      </c>
    </row>
    <row r="13" spans="1:2" x14ac:dyDescent="0.3">
      <c r="A13" t="s">
        <v>27</v>
      </c>
    </row>
    <row r="14" spans="1:2" x14ac:dyDescent="0.3">
      <c r="A14" t="s">
        <v>28</v>
      </c>
    </row>
  </sheetData>
  <sheetProtection algorithmName="SHA-512" hashValue="KoX3cLroIA+YftLm3ISMWI7Ut8kF9D44iFfRB5h9PE4ZrFmqywFlcyw4itjiRd9MvmlWxe38eI6M7wr1E0eCuA==" saltValue="DNf8DoKTk4pGIFjpuvGCrw==" spinCount="100000" sheet="1" objects="1" scenarios="1" selectLockedCells="1" selectUnlockedCells="1"/>
  <mergeCells count="1">
    <mergeCell ref="A1:B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CD7F84E0-1A64-4F3F-9C12-38B4ED85F8EB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FE49ADC0-7F77-4F2D-A155-9EC635D37140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C0758BA6-976F-40BA-A687-DFE236727235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Application</vt:lpstr>
      <vt:lpstr>ChartsData</vt:lpstr>
      <vt:lpstr>Model</vt:lpstr>
      <vt:lpstr>Database</vt:lpstr>
      <vt:lpstr>Scheduling</vt:lpstr>
      <vt:lpstr>Months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χρηστος Γαλανης</dc:creator>
  <cp:lastModifiedBy>χρηστος Γαλανης</cp:lastModifiedBy>
  <dcterms:created xsi:type="dcterms:W3CDTF">2025-02-07T08:13:05Z</dcterms:created>
  <dcterms:modified xsi:type="dcterms:W3CDTF">2025-02-12T10:26:15Z</dcterms:modified>
</cp:coreProperties>
</file>